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AYUSH\Downloads\"/>
    </mc:Choice>
  </mc:AlternateContent>
  <xr:revisionPtr revIDLastSave="0" documentId="8_{5E39CEC2-5A40-4ACB-AEA7-EBBBD53DCF24}" xr6:coauthVersionLast="47" xr6:coauthVersionMax="47" xr10:uidLastSave="{00000000-0000-0000-0000-000000000000}"/>
  <bookViews>
    <workbookView xWindow="-110" yWindow="-110" windowWidth="19420" windowHeight="10300" activeTab="2" xr2:uid="{6B9D828B-19C2-4BFE-9A56-BD1DF7B1F9A9}"/>
  </bookViews>
  <sheets>
    <sheet name="Data" sheetId="1" r:id="rId1"/>
    <sheet name="Pivot" sheetId="4" r:id="rId2"/>
    <sheet name="DASHBOARD" sheetId="3" r:id="rId3"/>
  </sheets>
  <externalReferences>
    <externalReference r:id="rId4"/>
  </externalReferences>
  <definedNames>
    <definedName name="_xlcn.WorksheetConnection_EmployeeWorkforceData.xlsxTable11" hidden="1">Table1[]</definedName>
    <definedName name="sel.dep">[1]Sheet4!$M$16</definedName>
    <definedName name="Slicer_Business">#N/A</definedName>
  </definedNames>
  <calcPr calcId="191029" concurrentCalc="0"/>
  <pivotCaches>
    <pivotCache cacheId="461" r:id="rId5"/>
    <pivotCache cacheId="464" r:id="rId6"/>
    <pivotCache cacheId="467" r:id="rId7"/>
    <pivotCache cacheId="470" r:id="rId8"/>
    <pivotCache cacheId="473" r:id="rId9"/>
    <pivotCache cacheId="476" r:id="rId10"/>
    <pivotCache cacheId="479" r:id="rId11"/>
  </pivotCaches>
  <extLst>
    <ext xmlns:x14="http://schemas.microsoft.com/office/spreadsheetml/2009/9/main" uri="{876F7934-8845-4945-9796-88D515C7AA90}">
      <x14:pivotCaches>
        <pivotCache cacheId="21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mployee Workforce 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4" l="1"/>
  <c r="L14" i="4"/>
  <c r="J15" i="4"/>
  <c r="L15" i="4"/>
  <c r="J16" i="4"/>
  <c r="L16" i="4"/>
  <c r="J17" i="4"/>
  <c r="L17" i="4"/>
  <c r="J18" i="4"/>
  <c r="L18" i="4"/>
  <c r="J19" i="4"/>
  <c r="L19" i="4"/>
  <c r="M15" i="4"/>
  <c r="M16" i="4"/>
  <c r="M17" i="4"/>
  <c r="M18" i="4"/>
  <c r="M19" i="4"/>
  <c r="M14" i="4"/>
  <c r="I14" i="4"/>
  <c r="I15" i="4"/>
  <c r="I16" i="4"/>
  <c r="I17" i="4"/>
  <c r="I18" i="4"/>
  <c r="I19" i="4"/>
  <c r="H19" i="4"/>
  <c r="H15" i="4"/>
  <c r="H16" i="4"/>
  <c r="H17" i="4"/>
  <c r="H18" i="4"/>
  <c r="H14" i="4"/>
  <c r="B10" i="4"/>
  <c r="B11" i="4"/>
  <c r="C10" i="4"/>
  <c r="B9" i="4"/>
  <c r="C9" i="4"/>
  <c r="A10" i="4"/>
  <c r="A11" i="4"/>
  <c r="A9" i="4"/>
  <c r="N2" i="1" a="1"/>
  <c r="N2" i="1"/>
  <c r="N3" i="1" a="1"/>
  <c r="N3" i="1"/>
  <c r="N4" i="1" a="1"/>
  <c r="N4" i="1"/>
  <c r="N5" i="1" a="1"/>
  <c r="N5" i="1"/>
  <c r="N6" i="1" a="1"/>
  <c r="N6" i="1"/>
  <c r="N7" i="1" a="1"/>
  <c r="N7" i="1"/>
  <c r="N8" i="1" a="1"/>
  <c r="N8" i="1"/>
  <c r="N9" i="1" a="1"/>
  <c r="N9" i="1"/>
  <c r="N10" i="1" a="1"/>
  <c r="N10" i="1"/>
  <c r="N11" i="1" a="1"/>
  <c r="N11" i="1"/>
  <c r="N12" i="1" a="1"/>
  <c r="N12" i="1"/>
  <c r="N13" i="1" a="1"/>
  <c r="N13" i="1"/>
  <c r="N14" i="1" a="1"/>
  <c r="N14" i="1"/>
  <c r="N15" i="1" a="1"/>
  <c r="N15" i="1"/>
  <c r="N16" i="1" a="1"/>
  <c r="N16" i="1"/>
  <c r="N17" i="1" a="1"/>
  <c r="N17" i="1"/>
  <c r="N18" i="1" a="1"/>
  <c r="N18" i="1"/>
  <c r="N19" i="1" a="1"/>
  <c r="N19" i="1"/>
  <c r="N20" i="1" a="1"/>
  <c r="N20" i="1"/>
  <c r="N21" i="1" a="1"/>
  <c r="N21" i="1"/>
  <c r="N22" i="1" a="1"/>
  <c r="N22" i="1"/>
  <c r="N23" i="1" a="1"/>
  <c r="N23" i="1"/>
  <c r="N24" i="1" a="1"/>
  <c r="N24" i="1"/>
  <c r="N25" i="1" a="1"/>
  <c r="N25" i="1"/>
  <c r="N26" i="1" a="1"/>
  <c r="N26" i="1"/>
  <c r="N27" i="1" a="1"/>
  <c r="N27" i="1"/>
  <c r="N28" i="1" a="1"/>
  <c r="N28" i="1"/>
  <c r="N29" i="1" a="1"/>
  <c r="N29" i="1"/>
  <c r="N30" i="1" a="1"/>
  <c r="N30" i="1"/>
  <c r="N31" i="1" a="1"/>
  <c r="N31" i="1"/>
  <c r="N32" i="1" a="1"/>
  <c r="N32" i="1"/>
  <c r="N33" i="1" a="1"/>
  <c r="N33" i="1"/>
  <c r="N34" i="1" a="1"/>
  <c r="N34" i="1"/>
  <c r="N35" i="1" a="1"/>
  <c r="N35" i="1"/>
  <c r="N36" i="1" a="1"/>
  <c r="N36" i="1"/>
  <c r="N37" i="1" a="1"/>
  <c r="N37" i="1"/>
  <c r="N38" i="1" a="1"/>
  <c r="N38" i="1"/>
  <c r="N39" i="1" a="1"/>
  <c r="N39" i="1"/>
  <c r="N40" i="1" a="1"/>
  <c r="N40" i="1"/>
  <c r="N41" i="1" a="1"/>
  <c r="N41" i="1"/>
  <c r="N42" i="1" a="1"/>
  <c r="N42" i="1"/>
  <c r="N43" i="1" a="1"/>
  <c r="N43" i="1"/>
  <c r="N44" i="1" a="1"/>
  <c r="N44" i="1"/>
  <c r="N45" i="1" a="1"/>
  <c r="N45" i="1"/>
  <c r="N46" i="1" a="1"/>
  <c r="N46" i="1"/>
  <c r="N47" i="1" a="1"/>
  <c r="N47" i="1"/>
  <c r="N48" i="1" a="1"/>
  <c r="N48" i="1"/>
  <c r="N49" i="1" a="1"/>
  <c r="N49" i="1"/>
  <c r="N50" i="1" a="1"/>
  <c r="N50" i="1"/>
  <c r="N51" i="1" a="1"/>
  <c r="N51" i="1"/>
  <c r="N52" i="1" a="1"/>
  <c r="N52" i="1"/>
  <c r="N53" i="1" a="1"/>
  <c r="N53" i="1"/>
  <c r="N54" i="1" a="1"/>
  <c r="N54" i="1"/>
  <c r="N55" i="1" a="1"/>
  <c r="N55" i="1"/>
  <c r="N56" i="1" a="1"/>
  <c r="N56" i="1"/>
  <c r="N57" i="1" a="1"/>
  <c r="N57" i="1"/>
  <c r="N58" i="1" a="1"/>
  <c r="N58" i="1"/>
  <c r="N59" i="1" a="1"/>
  <c r="N59" i="1"/>
  <c r="N60" i="1" a="1"/>
  <c r="N60" i="1"/>
  <c r="N61" i="1" a="1"/>
  <c r="N61" i="1"/>
  <c r="N62" i="1" a="1"/>
  <c r="N62" i="1"/>
  <c r="N63" i="1" a="1"/>
  <c r="N63" i="1"/>
  <c r="N64" i="1" a="1"/>
  <c r="N64" i="1"/>
  <c r="N65" i="1" a="1"/>
  <c r="N65" i="1"/>
  <c r="N66" i="1" a="1"/>
  <c r="N66" i="1"/>
  <c r="N67" i="1" a="1"/>
  <c r="N67" i="1"/>
  <c r="N68" i="1" a="1"/>
  <c r="N68" i="1"/>
  <c r="N69" i="1" a="1"/>
  <c r="N69" i="1"/>
  <c r="N70" i="1" a="1"/>
  <c r="N70" i="1"/>
  <c r="N71" i="1" a="1"/>
  <c r="N71" i="1"/>
  <c r="N72" i="1" a="1"/>
  <c r="N72" i="1"/>
  <c r="N73" i="1" a="1"/>
  <c r="N73" i="1"/>
  <c r="N74" i="1" a="1"/>
  <c r="N74" i="1"/>
  <c r="N75" i="1" a="1"/>
  <c r="N75" i="1"/>
  <c r="N76" i="1" a="1"/>
  <c r="N76" i="1"/>
  <c r="N77" i="1" a="1"/>
  <c r="N77" i="1"/>
  <c r="N78" i="1" a="1"/>
  <c r="N78" i="1"/>
  <c r="N79" i="1" a="1"/>
  <c r="N79" i="1"/>
  <c r="N80" i="1" a="1"/>
  <c r="N80" i="1"/>
  <c r="N81" i="1" a="1"/>
  <c r="N81" i="1"/>
  <c r="N82" i="1" a="1"/>
  <c r="N82" i="1"/>
  <c r="N83" i="1" a="1"/>
  <c r="N83" i="1"/>
  <c r="N84" i="1" a="1"/>
  <c r="N84" i="1"/>
  <c r="N85" i="1" a="1"/>
  <c r="N85" i="1"/>
  <c r="N86" i="1" a="1"/>
  <c r="N86" i="1"/>
  <c r="N87" i="1" a="1"/>
  <c r="N87" i="1"/>
  <c r="N88" i="1" a="1"/>
  <c r="N88" i="1"/>
  <c r="N89" i="1" a="1"/>
  <c r="N89" i="1"/>
  <c r="N90" i="1" a="1"/>
  <c r="N90" i="1"/>
  <c r="N91" i="1" a="1"/>
  <c r="N91" i="1"/>
  <c r="N92" i="1" a="1"/>
  <c r="N92" i="1"/>
  <c r="N93" i="1" a="1"/>
  <c r="N93" i="1"/>
  <c r="N94" i="1" a="1"/>
  <c r="N94" i="1"/>
  <c r="N95" i="1" a="1"/>
  <c r="N95" i="1"/>
  <c r="N96" i="1" a="1"/>
  <c r="N96" i="1"/>
  <c r="N97" i="1" a="1"/>
  <c r="N97" i="1"/>
  <c r="N98" i="1" a="1"/>
  <c r="N98" i="1"/>
  <c r="N99" i="1" a="1"/>
  <c r="N99" i="1"/>
  <c r="N100" i="1" a="1"/>
  <c r="N100" i="1"/>
  <c r="N101" i="1" a="1"/>
  <c r="N101" i="1"/>
  <c r="N102" i="1" a="1"/>
  <c r="N102" i="1"/>
  <c r="N103" i="1" a="1"/>
  <c r="N103" i="1"/>
  <c r="N104" i="1" a="1"/>
  <c r="N104" i="1"/>
  <c r="N105" i="1" a="1"/>
  <c r="N105" i="1"/>
  <c r="N106" i="1" a="1"/>
  <c r="N106" i="1"/>
  <c r="N107" i="1" a="1"/>
  <c r="N107" i="1"/>
  <c r="N108" i="1" a="1"/>
  <c r="N108" i="1"/>
  <c r="N109" i="1" a="1"/>
  <c r="N109" i="1"/>
  <c r="N110" i="1" a="1"/>
  <c r="N110" i="1"/>
  <c r="N111" i="1" a="1"/>
  <c r="N111" i="1"/>
  <c r="N112" i="1" a="1"/>
  <c r="N112" i="1"/>
  <c r="N113" i="1" a="1"/>
  <c r="N113" i="1"/>
  <c r="N114" i="1" a="1"/>
  <c r="N114" i="1"/>
  <c r="N115" i="1" a="1"/>
  <c r="N115" i="1"/>
  <c r="N116" i="1" a="1"/>
  <c r="N116" i="1"/>
  <c r="N117" i="1" a="1"/>
  <c r="N117" i="1"/>
  <c r="N118" i="1" a="1"/>
  <c r="N118" i="1"/>
  <c r="N119" i="1" a="1"/>
  <c r="N119" i="1"/>
  <c r="N120" i="1" a="1"/>
  <c r="N120" i="1"/>
  <c r="N121" i="1" a="1"/>
  <c r="N121" i="1"/>
  <c r="N122" i="1" a="1"/>
  <c r="N122" i="1"/>
  <c r="N123" i="1" a="1"/>
  <c r="N123" i="1"/>
  <c r="N124" i="1" a="1"/>
  <c r="N124" i="1"/>
  <c r="N125" i="1" a="1"/>
  <c r="N125" i="1"/>
  <c r="N126" i="1" a="1"/>
  <c r="N126" i="1"/>
  <c r="N127" i="1" a="1"/>
  <c r="N127" i="1"/>
  <c r="N128" i="1" a="1"/>
  <c r="N128" i="1"/>
  <c r="N129" i="1" a="1"/>
  <c r="N129" i="1"/>
  <c r="N130" i="1" a="1"/>
  <c r="N130" i="1"/>
  <c r="N131" i="1" a="1"/>
  <c r="N131" i="1"/>
  <c r="N132" i="1" a="1"/>
  <c r="N132" i="1"/>
  <c r="N133" i="1" a="1"/>
  <c r="N133" i="1"/>
  <c r="N134" i="1" a="1"/>
  <c r="N134" i="1"/>
  <c r="N135" i="1" a="1"/>
  <c r="N135" i="1"/>
  <c r="N136" i="1" a="1"/>
  <c r="N136" i="1"/>
  <c r="N137" i="1" a="1"/>
  <c r="N137" i="1"/>
  <c r="N138" i="1" a="1"/>
  <c r="N138" i="1"/>
  <c r="N139" i="1" a="1"/>
  <c r="N139" i="1"/>
  <c r="N140" i="1" a="1"/>
  <c r="N140" i="1"/>
  <c r="N141" i="1" a="1"/>
  <c r="N141" i="1"/>
  <c r="N142" i="1" a="1"/>
  <c r="N142" i="1"/>
  <c r="N143" i="1" a="1"/>
  <c r="N143" i="1"/>
  <c r="N144" i="1" a="1"/>
  <c r="N144" i="1"/>
  <c r="N145" i="1" a="1"/>
  <c r="N145" i="1"/>
  <c r="N146" i="1" a="1"/>
  <c r="N146" i="1"/>
  <c r="N147" i="1" a="1"/>
  <c r="N147" i="1"/>
  <c r="N148" i="1" a="1"/>
  <c r="N148" i="1"/>
  <c r="N149" i="1" a="1"/>
  <c r="N149" i="1"/>
  <c r="N150" i="1" a="1"/>
  <c r="N150" i="1"/>
  <c r="N151" i="1" a="1"/>
  <c r="N151" i="1"/>
  <c r="N152" i="1" a="1"/>
  <c r="N152" i="1"/>
  <c r="N153" i="1" a="1"/>
  <c r="N153" i="1"/>
  <c r="N154" i="1" a="1"/>
  <c r="N154" i="1"/>
  <c r="N155" i="1" a="1"/>
  <c r="N155" i="1"/>
  <c r="N156" i="1" a="1"/>
  <c r="N156" i="1"/>
  <c r="N157" i="1" a="1"/>
  <c r="N157" i="1"/>
  <c r="N158" i="1" a="1"/>
  <c r="N158" i="1"/>
  <c r="N159" i="1" a="1"/>
  <c r="N159" i="1"/>
  <c r="N160" i="1" a="1"/>
  <c r="N160" i="1"/>
  <c r="N161" i="1" a="1"/>
  <c r="N161" i="1"/>
  <c r="N162" i="1" a="1"/>
  <c r="N162" i="1"/>
  <c r="N163" i="1" a="1"/>
  <c r="N163" i="1"/>
  <c r="N164" i="1" a="1"/>
  <c r="N164" i="1"/>
  <c r="N165" i="1" a="1"/>
  <c r="N165" i="1"/>
  <c r="N166" i="1" a="1"/>
  <c r="N166" i="1"/>
  <c r="N167" i="1" a="1"/>
  <c r="N167" i="1"/>
  <c r="N168" i="1" a="1"/>
  <c r="N168" i="1"/>
  <c r="N169" i="1" a="1"/>
  <c r="N169" i="1"/>
  <c r="N170" i="1" a="1"/>
  <c r="N170" i="1"/>
  <c r="N171" i="1" a="1"/>
  <c r="N171" i="1"/>
  <c r="N172" i="1" a="1"/>
  <c r="N172" i="1"/>
  <c r="N173" i="1" a="1"/>
  <c r="N173" i="1"/>
  <c r="N174" i="1" a="1"/>
  <c r="N174" i="1"/>
  <c r="N175" i="1" a="1"/>
  <c r="N175" i="1"/>
  <c r="N176" i="1" a="1"/>
  <c r="N176" i="1"/>
  <c r="N177" i="1" a="1"/>
  <c r="N177" i="1"/>
  <c r="N178" i="1" a="1"/>
  <c r="N178" i="1"/>
  <c r="N179" i="1" a="1"/>
  <c r="N179" i="1"/>
  <c r="N180" i="1" a="1"/>
  <c r="N180" i="1"/>
  <c r="N181" i="1" a="1"/>
  <c r="N181" i="1"/>
  <c r="N182" i="1" a="1"/>
  <c r="N182" i="1"/>
  <c r="N183" i="1" a="1"/>
  <c r="N183" i="1"/>
  <c r="N184" i="1" a="1"/>
  <c r="N184" i="1"/>
  <c r="N185" i="1" a="1"/>
  <c r="N185" i="1"/>
  <c r="N186" i="1" a="1"/>
  <c r="N186" i="1"/>
  <c r="N187" i="1" a="1"/>
  <c r="N187" i="1"/>
  <c r="N188" i="1" a="1"/>
  <c r="N188" i="1"/>
  <c r="N189" i="1" a="1"/>
  <c r="N189" i="1"/>
  <c r="N190" i="1" a="1"/>
  <c r="N190" i="1"/>
  <c r="N191" i="1" a="1"/>
  <c r="N191" i="1"/>
  <c r="N192" i="1" a="1"/>
  <c r="N192" i="1"/>
  <c r="N193" i="1" a="1"/>
  <c r="N193" i="1"/>
  <c r="N194" i="1" a="1"/>
  <c r="N194" i="1"/>
  <c r="N195" i="1" a="1"/>
  <c r="N195" i="1"/>
  <c r="N196" i="1" a="1"/>
  <c r="N196" i="1"/>
  <c r="N197" i="1" a="1"/>
  <c r="N197" i="1"/>
  <c r="N198" i="1" a="1"/>
  <c r="N198" i="1"/>
  <c r="N199" i="1" a="1"/>
  <c r="N199" i="1"/>
  <c r="N200" i="1" a="1"/>
  <c r="N200" i="1"/>
  <c r="N201" i="1" a="1"/>
  <c r="N201" i="1"/>
  <c r="N202" i="1" a="1"/>
  <c r="N202" i="1"/>
  <c r="N203" i="1" a="1"/>
  <c r="N203" i="1"/>
  <c r="N204" i="1" a="1"/>
  <c r="N204" i="1"/>
  <c r="N205" i="1" a="1"/>
  <c r="N205" i="1"/>
  <c r="N206" i="1" a="1"/>
  <c r="N206" i="1"/>
  <c r="N207" i="1" a="1"/>
  <c r="N207" i="1"/>
  <c r="N208" i="1" a="1"/>
  <c r="N208" i="1"/>
  <c r="N209" i="1" a="1"/>
  <c r="N209" i="1"/>
  <c r="N210" i="1" a="1"/>
  <c r="N210" i="1"/>
  <c r="N211" i="1" a="1"/>
  <c r="N211" i="1"/>
  <c r="N212" i="1" a="1"/>
  <c r="N212" i="1"/>
  <c r="N213" i="1" a="1"/>
  <c r="N213" i="1"/>
  <c r="N214" i="1" a="1"/>
  <c r="N214" i="1"/>
  <c r="N215" i="1" a="1"/>
  <c r="N215" i="1"/>
  <c r="N216" i="1" a="1"/>
  <c r="N216" i="1"/>
  <c r="N217" i="1" a="1"/>
  <c r="N217" i="1"/>
  <c r="N218" i="1" a="1"/>
  <c r="N218" i="1"/>
  <c r="N219" i="1" a="1"/>
  <c r="N219" i="1"/>
  <c r="N220" i="1" a="1"/>
  <c r="N220" i="1"/>
  <c r="N221" i="1" a="1"/>
  <c r="N221" i="1"/>
  <c r="N222" i="1" a="1"/>
  <c r="N222" i="1"/>
  <c r="N223" i="1" a="1"/>
  <c r="N223" i="1"/>
  <c r="N224" i="1" a="1"/>
  <c r="N224" i="1"/>
  <c r="N225" i="1" a="1"/>
  <c r="N225" i="1"/>
  <c r="N226" i="1" a="1"/>
  <c r="N226" i="1"/>
  <c r="N227" i="1" a="1"/>
  <c r="N227" i="1"/>
  <c r="N228" i="1" a="1"/>
  <c r="N228" i="1"/>
  <c r="N229" i="1" a="1"/>
  <c r="N229" i="1"/>
  <c r="N230" i="1" a="1"/>
  <c r="N230" i="1"/>
  <c r="N231" i="1" a="1"/>
  <c r="N231" i="1"/>
  <c r="N232" i="1" a="1"/>
  <c r="N232" i="1"/>
  <c r="N233" i="1" a="1"/>
  <c r="N233" i="1"/>
  <c r="N234" i="1" a="1"/>
  <c r="N234" i="1"/>
  <c r="N235" i="1" a="1"/>
  <c r="N235" i="1"/>
  <c r="N236" i="1" a="1"/>
  <c r="N236" i="1"/>
  <c r="N237" i="1" a="1"/>
  <c r="N237" i="1"/>
  <c r="N238" i="1" a="1"/>
  <c r="N238" i="1"/>
  <c r="N239" i="1" a="1"/>
  <c r="N239" i="1"/>
  <c r="N240" i="1" a="1"/>
  <c r="N240" i="1"/>
  <c r="N241" i="1" a="1"/>
  <c r="N241" i="1"/>
  <c r="N242" i="1" a="1"/>
  <c r="N242" i="1"/>
  <c r="N243" i="1" a="1"/>
  <c r="N243" i="1"/>
  <c r="N244" i="1" a="1"/>
  <c r="N244" i="1"/>
  <c r="N245" i="1" a="1"/>
  <c r="N245" i="1"/>
  <c r="N246" i="1" a="1"/>
  <c r="N246" i="1"/>
  <c r="N247" i="1" a="1"/>
  <c r="N247" i="1"/>
  <c r="N248" i="1" a="1"/>
  <c r="N248" i="1"/>
  <c r="N249" i="1" a="1"/>
  <c r="N249" i="1"/>
  <c r="N250" i="1" a="1"/>
  <c r="N250" i="1"/>
  <c r="N251" i="1" a="1"/>
  <c r="N251" i="1"/>
  <c r="N252" i="1" a="1"/>
  <c r="N252" i="1"/>
  <c r="N253" i="1" a="1"/>
  <c r="N253" i="1"/>
  <c r="N254" i="1" a="1"/>
  <c r="N254" i="1"/>
  <c r="N255" i="1" a="1"/>
  <c r="N255" i="1"/>
  <c r="N256" i="1" a="1"/>
  <c r="N256" i="1"/>
  <c r="N257" i="1" a="1"/>
  <c r="N257" i="1"/>
  <c r="N258" i="1" a="1"/>
  <c r="N258" i="1"/>
  <c r="N259" i="1" a="1"/>
  <c r="N259" i="1"/>
  <c r="N260" i="1" a="1"/>
  <c r="N260" i="1"/>
  <c r="N261" i="1" a="1"/>
  <c r="N261" i="1"/>
  <c r="N262" i="1" a="1"/>
  <c r="N262" i="1"/>
  <c r="N263" i="1" a="1"/>
  <c r="N263" i="1"/>
  <c r="N264" i="1" a="1"/>
  <c r="N264" i="1"/>
  <c r="N265" i="1" a="1"/>
  <c r="N265" i="1"/>
  <c r="N266" i="1" a="1"/>
  <c r="N266" i="1"/>
  <c r="N267" i="1" a="1"/>
  <c r="N267" i="1"/>
  <c r="N268" i="1" a="1"/>
  <c r="N268" i="1"/>
  <c r="N269" i="1" a="1"/>
  <c r="N269" i="1"/>
  <c r="N270" i="1" a="1"/>
  <c r="N270" i="1"/>
  <c r="N271" i="1" a="1"/>
  <c r="N271" i="1"/>
  <c r="N272" i="1" a="1"/>
  <c r="N272" i="1"/>
  <c r="N273" i="1" a="1"/>
  <c r="N273" i="1"/>
  <c r="N274" i="1" a="1"/>
  <c r="N274" i="1"/>
  <c r="N275" i="1" a="1"/>
  <c r="N275" i="1"/>
  <c r="N276" i="1" a="1"/>
  <c r="N276" i="1"/>
  <c r="N277" i="1" a="1"/>
  <c r="N277" i="1"/>
  <c r="N278" i="1" a="1"/>
  <c r="N278" i="1"/>
  <c r="N279" i="1" a="1"/>
  <c r="N279" i="1"/>
  <c r="N280" i="1" a="1"/>
  <c r="N280" i="1"/>
  <c r="N281" i="1" a="1"/>
  <c r="N281" i="1"/>
  <c r="N282" i="1" a="1"/>
  <c r="N282" i="1"/>
  <c r="N283" i="1" a="1"/>
  <c r="N283" i="1"/>
  <c r="N284" i="1" a="1"/>
  <c r="N284" i="1"/>
  <c r="N285" i="1" a="1"/>
  <c r="N285" i="1"/>
  <c r="N286" i="1" a="1"/>
  <c r="N286" i="1"/>
  <c r="N287" i="1" a="1"/>
  <c r="N287" i="1"/>
  <c r="N288" i="1" a="1"/>
  <c r="N288" i="1"/>
  <c r="N289" i="1" a="1"/>
  <c r="N289" i="1"/>
  <c r="N290" i="1" a="1"/>
  <c r="N290" i="1"/>
  <c r="N291" i="1" a="1"/>
  <c r="N291" i="1"/>
  <c r="N292" i="1" a="1"/>
  <c r="N292" i="1"/>
  <c r="N293" i="1" a="1"/>
  <c r="N293" i="1"/>
  <c r="N294" i="1" a="1"/>
  <c r="N294" i="1"/>
  <c r="N295" i="1" a="1"/>
  <c r="N295" i="1"/>
  <c r="N296" i="1" a="1"/>
  <c r="N296" i="1"/>
  <c r="N297" i="1" a="1"/>
  <c r="N297" i="1"/>
  <c r="N298" i="1" a="1"/>
  <c r="N298" i="1"/>
  <c r="N299" i="1" a="1"/>
  <c r="N299" i="1"/>
  <c r="N300" i="1" a="1"/>
  <c r="N300" i="1"/>
  <c r="N301" i="1" a="1"/>
  <c r="N301" i="1"/>
  <c r="N302" i="1" a="1"/>
  <c r="N302" i="1"/>
  <c r="N303" i="1" a="1"/>
  <c r="N303" i="1"/>
  <c r="N304" i="1" a="1"/>
  <c r="N304" i="1"/>
  <c r="N305" i="1" a="1"/>
  <c r="N305" i="1"/>
  <c r="N306" i="1" a="1"/>
  <c r="N306" i="1"/>
  <c r="N307" i="1" a="1"/>
  <c r="N307" i="1"/>
  <c r="N308" i="1" a="1"/>
  <c r="N308" i="1"/>
  <c r="N309" i="1" a="1"/>
  <c r="N309" i="1"/>
  <c r="N310" i="1" a="1"/>
  <c r="N310" i="1"/>
  <c r="N311" i="1" a="1"/>
  <c r="N311" i="1"/>
  <c r="N312" i="1" a="1"/>
  <c r="N312" i="1"/>
  <c r="N313" i="1" a="1"/>
  <c r="N313" i="1"/>
  <c r="N314" i="1" a="1"/>
  <c r="N314" i="1"/>
  <c r="N315" i="1" a="1"/>
  <c r="N315" i="1"/>
  <c r="N316" i="1" a="1"/>
  <c r="N316" i="1"/>
  <c r="N317" i="1" a="1"/>
  <c r="N317" i="1"/>
  <c r="N318" i="1" a="1"/>
  <c r="N318" i="1"/>
  <c r="N319" i="1" a="1"/>
  <c r="N319" i="1"/>
  <c r="N320" i="1" a="1"/>
  <c r="N320" i="1"/>
  <c r="N321" i="1" a="1"/>
  <c r="N321" i="1"/>
  <c r="N322" i="1" a="1"/>
  <c r="N322" i="1"/>
  <c r="N323" i="1" a="1"/>
  <c r="N323" i="1"/>
  <c r="N324" i="1" a="1"/>
  <c r="N324" i="1"/>
  <c r="N325" i="1" a="1"/>
  <c r="N325" i="1"/>
  <c r="N326" i="1" a="1"/>
  <c r="N326" i="1"/>
  <c r="N327" i="1" a="1"/>
  <c r="N327" i="1"/>
  <c r="N328" i="1" a="1"/>
  <c r="N328" i="1"/>
  <c r="N329" i="1" a="1"/>
  <c r="N329" i="1"/>
  <c r="N330" i="1" a="1"/>
  <c r="N330" i="1"/>
  <c r="N331" i="1" a="1"/>
  <c r="N331" i="1"/>
  <c r="N332" i="1" a="1"/>
  <c r="N332" i="1"/>
  <c r="N333" i="1" a="1"/>
  <c r="N333" i="1"/>
  <c r="N334" i="1" a="1"/>
  <c r="N334" i="1"/>
  <c r="N335" i="1" a="1"/>
  <c r="N335" i="1"/>
  <c r="N336" i="1" a="1"/>
  <c r="N336" i="1"/>
  <c r="N337" i="1" a="1"/>
  <c r="N337" i="1"/>
  <c r="N338" i="1" a="1"/>
  <c r="N338" i="1"/>
  <c r="N339" i="1" a="1"/>
  <c r="N339" i="1"/>
  <c r="N340" i="1" a="1"/>
  <c r="N340" i="1"/>
  <c r="N341" i="1" a="1"/>
  <c r="N341" i="1"/>
  <c r="N342" i="1" a="1"/>
  <c r="N342" i="1"/>
  <c r="N343" i="1" a="1"/>
  <c r="N343" i="1"/>
  <c r="N344" i="1" a="1"/>
  <c r="N344" i="1"/>
  <c r="N345" i="1" a="1"/>
  <c r="N345" i="1"/>
  <c r="N346" i="1" a="1"/>
  <c r="N346" i="1"/>
  <c r="N347" i="1" a="1"/>
  <c r="N347" i="1"/>
  <c r="N348" i="1" a="1"/>
  <c r="N348" i="1"/>
  <c r="N349" i="1" a="1"/>
  <c r="N349" i="1"/>
  <c r="N350" i="1" a="1"/>
  <c r="N350" i="1"/>
  <c r="N351" i="1" a="1"/>
  <c r="N351" i="1"/>
  <c r="N352" i="1" a="1"/>
  <c r="N352" i="1"/>
  <c r="N353" i="1" a="1"/>
  <c r="N353" i="1"/>
  <c r="N354" i="1" a="1"/>
  <c r="N354" i="1"/>
  <c r="N355" i="1" a="1"/>
  <c r="N355" i="1"/>
  <c r="N356" i="1" a="1"/>
  <c r="N356" i="1"/>
  <c r="N357" i="1" a="1"/>
  <c r="N357" i="1"/>
  <c r="N358" i="1" a="1"/>
  <c r="N358" i="1"/>
  <c r="N359" i="1" a="1"/>
  <c r="N359" i="1"/>
  <c r="N360" i="1" a="1"/>
  <c r="N360" i="1"/>
  <c r="N361" i="1" a="1"/>
  <c r="N361" i="1"/>
  <c r="N362" i="1" a="1"/>
  <c r="N362" i="1"/>
  <c r="N363" i="1" a="1"/>
  <c r="N363" i="1"/>
  <c r="N364" i="1" a="1"/>
  <c r="N364" i="1"/>
  <c r="N365" i="1" a="1"/>
  <c r="N365" i="1"/>
  <c r="N366" i="1" a="1"/>
  <c r="N366" i="1"/>
  <c r="N367" i="1" a="1"/>
  <c r="N367" i="1"/>
  <c r="N368" i="1" a="1"/>
  <c r="N368" i="1"/>
  <c r="N369" i="1" a="1"/>
  <c r="N369" i="1"/>
  <c r="N370" i="1" a="1"/>
  <c r="N370" i="1"/>
  <c r="N371" i="1" a="1"/>
  <c r="N371" i="1"/>
  <c r="N372" i="1" a="1"/>
  <c r="N372" i="1"/>
  <c r="N373" i="1" a="1"/>
  <c r="N373" i="1"/>
  <c r="N374" i="1" a="1"/>
  <c r="N374" i="1"/>
  <c r="N375" i="1" a="1"/>
  <c r="N375" i="1"/>
  <c r="N376" i="1" a="1"/>
  <c r="N376" i="1"/>
  <c r="N377" i="1" a="1"/>
  <c r="N377" i="1"/>
  <c r="N378" i="1" a="1"/>
  <c r="N378" i="1"/>
  <c r="N379" i="1" a="1"/>
  <c r="N379" i="1"/>
  <c r="N380" i="1" a="1"/>
  <c r="N380" i="1"/>
  <c r="N381" i="1" a="1"/>
  <c r="N381" i="1"/>
  <c r="N382" i="1" a="1"/>
  <c r="N382" i="1"/>
  <c r="N383" i="1" a="1"/>
  <c r="N383" i="1"/>
  <c r="N384" i="1" a="1"/>
  <c r="N384" i="1"/>
  <c r="N385" i="1" a="1"/>
  <c r="N385" i="1"/>
  <c r="N386" i="1" a="1"/>
  <c r="N386" i="1"/>
  <c r="N387" i="1" a="1"/>
  <c r="N387" i="1"/>
  <c r="N388" i="1" a="1"/>
  <c r="N388" i="1"/>
  <c r="N389" i="1" a="1"/>
  <c r="N389" i="1"/>
  <c r="N390" i="1" a="1"/>
  <c r="N390" i="1"/>
  <c r="N391" i="1" a="1"/>
  <c r="N391" i="1"/>
  <c r="N392" i="1" a="1"/>
  <c r="N392" i="1"/>
  <c r="N393" i="1" a="1"/>
  <c r="N393" i="1"/>
  <c r="N394" i="1" a="1"/>
  <c r="N394" i="1"/>
  <c r="N395" i="1" a="1"/>
  <c r="N395" i="1"/>
  <c r="N396" i="1" a="1"/>
  <c r="N396" i="1"/>
  <c r="N397" i="1" a="1"/>
  <c r="N397" i="1"/>
  <c r="N398" i="1" a="1"/>
  <c r="N398" i="1"/>
  <c r="N399" i="1" a="1"/>
  <c r="N399" i="1"/>
  <c r="N400" i="1" a="1"/>
  <c r="N400" i="1"/>
  <c r="N401" i="1" a="1"/>
  <c r="N401" i="1"/>
  <c r="N402" i="1" a="1"/>
  <c r="N402" i="1"/>
  <c r="N403" i="1" a="1"/>
  <c r="N403" i="1"/>
  <c r="N404" i="1" a="1"/>
  <c r="N404" i="1"/>
  <c r="N405" i="1" a="1"/>
  <c r="N405" i="1"/>
  <c r="N406" i="1" a="1"/>
  <c r="N406" i="1"/>
  <c r="N407" i="1" a="1"/>
  <c r="N407" i="1"/>
  <c r="N408" i="1" a="1"/>
  <c r="N408" i="1"/>
  <c r="N409" i="1" a="1"/>
  <c r="N409" i="1"/>
  <c r="N410" i="1" a="1"/>
  <c r="N410" i="1"/>
  <c r="N411" i="1" a="1"/>
  <c r="N411" i="1"/>
  <c r="N412" i="1" a="1"/>
  <c r="N412" i="1"/>
  <c r="N413" i="1" a="1"/>
  <c r="N413" i="1"/>
  <c r="N414" i="1" a="1"/>
  <c r="N414" i="1"/>
  <c r="N415" i="1" a="1"/>
  <c r="N415" i="1"/>
  <c r="N416" i="1" a="1"/>
  <c r="N416" i="1"/>
  <c r="N417" i="1" a="1"/>
  <c r="N417" i="1"/>
  <c r="N418" i="1" a="1"/>
  <c r="N418" i="1"/>
  <c r="N419" i="1" a="1"/>
  <c r="N419" i="1"/>
  <c r="N420" i="1" a="1"/>
  <c r="N420" i="1"/>
  <c r="N421" i="1" a="1"/>
  <c r="N421" i="1"/>
  <c r="N422" i="1" a="1"/>
  <c r="N422" i="1"/>
  <c r="N423" i="1" a="1"/>
  <c r="N423" i="1"/>
  <c r="N424" i="1" a="1"/>
  <c r="N424" i="1"/>
  <c r="N425" i="1" a="1"/>
  <c r="N425" i="1"/>
  <c r="N426" i="1" a="1"/>
  <c r="N426" i="1"/>
  <c r="N427" i="1" a="1"/>
  <c r="N427" i="1"/>
  <c r="N428" i="1" a="1"/>
  <c r="N428" i="1"/>
  <c r="N429" i="1" a="1"/>
  <c r="N429" i="1"/>
  <c r="N430" i="1" a="1"/>
  <c r="N430" i="1"/>
  <c r="N431" i="1" a="1"/>
  <c r="N431" i="1"/>
  <c r="N432" i="1" a="1"/>
  <c r="N432" i="1"/>
  <c r="N433" i="1" a="1"/>
  <c r="N433" i="1"/>
  <c r="N434" i="1" a="1"/>
  <c r="N434" i="1"/>
  <c r="N435" i="1" a="1"/>
  <c r="N435" i="1"/>
  <c r="N436" i="1" a="1"/>
  <c r="N436" i="1"/>
  <c r="N437" i="1" a="1"/>
  <c r="N437" i="1"/>
  <c r="N438" i="1" a="1"/>
  <c r="N438" i="1"/>
  <c r="N439" i="1" a="1"/>
  <c r="N439" i="1"/>
  <c r="N440" i="1" a="1"/>
  <c r="N440" i="1"/>
  <c r="N441" i="1" a="1"/>
  <c r="N441" i="1"/>
  <c r="N442" i="1" a="1"/>
  <c r="N442" i="1"/>
  <c r="N443" i="1" a="1"/>
  <c r="N443" i="1"/>
  <c r="N444" i="1" a="1"/>
  <c r="N444" i="1"/>
  <c r="N445" i="1" a="1"/>
  <c r="N445" i="1"/>
  <c r="N446" i="1" a="1"/>
  <c r="N446" i="1"/>
  <c r="N447" i="1" a="1"/>
  <c r="N447" i="1"/>
  <c r="N448" i="1" a="1"/>
  <c r="N448" i="1"/>
  <c r="N449" i="1" a="1"/>
  <c r="N449" i="1"/>
  <c r="N450" i="1" a="1"/>
  <c r="N450" i="1"/>
  <c r="N451" i="1" a="1"/>
  <c r="N451" i="1"/>
  <c r="N452" i="1" a="1"/>
  <c r="N452" i="1"/>
  <c r="N453" i="1" a="1"/>
  <c r="N453" i="1"/>
  <c r="N454" i="1" a="1"/>
  <c r="N454" i="1"/>
  <c r="N455" i="1" a="1"/>
  <c r="N455" i="1"/>
  <c r="N456" i="1" a="1"/>
  <c r="N456" i="1"/>
  <c r="N457" i="1" a="1"/>
  <c r="N457" i="1"/>
  <c r="N458" i="1" a="1"/>
  <c r="N458" i="1"/>
  <c r="N459" i="1" a="1"/>
  <c r="N459" i="1"/>
  <c r="N460" i="1" a="1"/>
  <c r="N460" i="1"/>
  <c r="N461" i="1" a="1"/>
  <c r="N461" i="1"/>
  <c r="N462" i="1" a="1"/>
  <c r="N462" i="1"/>
  <c r="N463" i="1" a="1"/>
  <c r="N463" i="1"/>
  <c r="N464" i="1" a="1"/>
  <c r="N464" i="1"/>
  <c r="N465" i="1" a="1"/>
  <c r="N465" i="1"/>
  <c r="N466" i="1" a="1"/>
  <c r="N466" i="1"/>
  <c r="N467" i="1" a="1"/>
  <c r="N467" i="1"/>
  <c r="N468" i="1" a="1"/>
  <c r="N468" i="1"/>
  <c r="N469" i="1" a="1"/>
  <c r="N469" i="1"/>
  <c r="N470" i="1" a="1"/>
  <c r="N470" i="1"/>
  <c r="N471" i="1" a="1"/>
  <c r="N471" i="1"/>
  <c r="N472" i="1" a="1"/>
  <c r="N472" i="1"/>
  <c r="N473" i="1" a="1"/>
  <c r="N473" i="1"/>
  <c r="N474" i="1" a="1"/>
  <c r="N474" i="1"/>
  <c r="N475" i="1" a="1"/>
  <c r="N475" i="1"/>
  <c r="N476" i="1" a="1"/>
  <c r="N476" i="1"/>
  <c r="N477" i="1" a="1"/>
  <c r="N477" i="1"/>
  <c r="N478" i="1" a="1"/>
  <c r="N478" i="1"/>
  <c r="N479" i="1" a="1"/>
  <c r="N479" i="1"/>
  <c r="N480" i="1" a="1"/>
  <c r="N480" i="1"/>
  <c r="N481" i="1" a="1"/>
  <c r="N481" i="1"/>
  <c r="N482" i="1" a="1"/>
  <c r="N482" i="1"/>
  <c r="N483" i="1" a="1"/>
  <c r="N483" i="1"/>
  <c r="N484" i="1" a="1"/>
  <c r="N484" i="1"/>
  <c r="N485" i="1" a="1"/>
  <c r="N485" i="1"/>
  <c r="N486" i="1" a="1"/>
  <c r="N486" i="1"/>
  <c r="N487" i="1" a="1"/>
  <c r="N487" i="1"/>
  <c r="N488" i="1" a="1"/>
  <c r="N488" i="1"/>
  <c r="N489" i="1" a="1"/>
  <c r="N489" i="1"/>
  <c r="N490" i="1" a="1"/>
  <c r="N490" i="1"/>
  <c r="N491" i="1" a="1"/>
  <c r="N491" i="1"/>
  <c r="N492" i="1" a="1"/>
  <c r="N492" i="1"/>
  <c r="N493" i="1" a="1"/>
  <c r="N493" i="1"/>
  <c r="N494" i="1" a="1"/>
  <c r="N494" i="1"/>
  <c r="N495" i="1" a="1"/>
  <c r="N495" i="1"/>
  <c r="N496" i="1" a="1"/>
  <c r="N496" i="1"/>
  <c r="N497" i="1" a="1"/>
  <c r="N497" i="1"/>
  <c r="N498" i="1" a="1"/>
  <c r="N498" i="1"/>
  <c r="N499" i="1" a="1"/>
  <c r="N499" i="1"/>
  <c r="N500" i="1" a="1"/>
  <c r="N500" i="1"/>
  <c r="N501" i="1" a="1"/>
  <c r="N501" i="1"/>
  <c r="N502" i="1" a="1"/>
  <c r="N502" i="1"/>
  <c r="N503" i="1" a="1"/>
  <c r="N503" i="1"/>
  <c r="N504" i="1" a="1"/>
  <c r="N504" i="1"/>
  <c r="N505" i="1" a="1"/>
  <c r="N505" i="1"/>
  <c r="N506" i="1" a="1"/>
  <c r="N506" i="1"/>
  <c r="N507" i="1" a="1"/>
  <c r="N507" i="1"/>
  <c r="N508" i="1" a="1"/>
  <c r="N508" i="1"/>
  <c r="N509" i="1" a="1"/>
  <c r="N509" i="1"/>
  <c r="N510" i="1" a="1"/>
  <c r="N510" i="1"/>
  <c r="N511" i="1" a="1"/>
  <c r="N511" i="1"/>
  <c r="N512" i="1" a="1"/>
  <c r="N512" i="1"/>
  <c r="N513" i="1" a="1"/>
  <c r="N513" i="1"/>
  <c r="N514" i="1" a="1"/>
  <c r="N514" i="1"/>
  <c r="N515" i="1" a="1"/>
  <c r="N515" i="1"/>
  <c r="N516" i="1" a="1"/>
  <c r="N516" i="1"/>
  <c r="N517" i="1" a="1"/>
  <c r="N517" i="1"/>
  <c r="N518" i="1" a="1"/>
  <c r="N518" i="1"/>
  <c r="N519" i="1" a="1"/>
  <c r="N519" i="1"/>
  <c r="N520" i="1" a="1"/>
  <c r="N520" i="1"/>
  <c r="N521" i="1" a="1"/>
  <c r="N521" i="1"/>
  <c r="N522" i="1" a="1"/>
  <c r="N522" i="1"/>
  <c r="N523" i="1" a="1"/>
  <c r="N523" i="1"/>
  <c r="N524" i="1" a="1"/>
  <c r="N524" i="1"/>
  <c r="N525" i="1" a="1"/>
  <c r="N525" i="1"/>
  <c r="N526" i="1" a="1"/>
  <c r="N526" i="1"/>
  <c r="N527" i="1" a="1"/>
  <c r="N527" i="1"/>
  <c r="N528" i="1" a="1"/>
  <c r="N528" i="1"/>
  <c r="N529" i="1" a="1"/>
  <c r="N529" i="1"/>
  <c r="N530" i="1" a="1"/>
  <c r="N530" i="1"/>
  <c r="N531" i="1" a="1"/>
  <c r="N531" i="1"/>
  <c r="N532" i="1" a="1"/>
  <c r="N532" i="1"/>
  <c r="N533" i="1" a="1"/>
  <c r="N533" i="1"/>
  <c r="N534" i="1" a="1"/>
  <c r="N534" i="1"/>
  <c r="N535" i="1" a="1"/>
  <c r="N535" i="1"/>
  <c r="N536" i="1" a="1"/>
  <c r="N536" i="1"/>
  <c r="N537" i="1" a="1"/>
  <c r="N537" i="1"/>
  <c r="N538" i="1" a="1"/>
  <c r="N538" i="1"/>
  <c r="N539" i="1" a="1"/>
  <c r="N539" i="1"/>
  <c r="N540" i="1" a="1"/>
  <c r="N540" i="1"/>
  <c r="N541" i="1" a="1"/>
  <c r="N541" i="1"/>
  <c r="N542" i="1" a="1"/>
  <c r="N542" i="1"/>
  <c r="N543" i="1" a="1"/>
  <c r="N543" i="1"/>
  <c r="N544" i="1" a="1"/>
  <c r="N544" i="1"/>
  <c r="N545" i="1" a="1"/>
  <c r="N545" i="1"/>
  <c r="N546" i="1" a="1"/>
  <c r="N546" i="1"/>
  <c r="N547" i="1" a="1"/>
  <c r="N547" i="1"/>
  <c r="N548" i="1" a="1"/>
  <c r="N548" i="1"/>
  <c r="N549" i="1" a="1"/>
  <c r="N549" i="1"/>
  <c r="N550" i="1" a="1"/>
  <c r="N550" i="1"/>
  <c r="N551" i="1" a="1"/>
  <c r="N551" i="1"/>
  <c r="N552" i="1" a="1"/>
  <c r="N552" i="1"/>
  <c r="N553" i="1" a="1"/>
  <c r="N553" i="1"/>
  <c r="N554" i="1" a="1"/>
  <c r="N554" i="1"/>
  <c r="N555" i="1" a="1"/>
  <c r="N555" i="1"/>
  <c r="N556" i="1" a="1"/>
  <c r="N556" i="1"/>
  <c r="N557" i="1" a="1"/>
  <c r="N557" i="1"/>
  <c r="N558" i="1" a="1"/>
  <c r="N558" i="1"/>
  <c r="N559" i="1" a="1"/>
  <c r="N559" i="1"/>
  <c r="N560" i="1" a="1"/>
  <c r="N560" i="1"/>
  <c r="N561" i="1" a="1"/>
  <c r="N561" i="1"/>
  <c r="N562" i="1" a="1"/>
  <c r="N562" i="1"/>
  <c r="N563" i="1" a="1"/>
  <c r="N563" i="1"/>
  <c r="N564" i="1" a="1"/>
  <c r="N564" i="1"/>
  <c r="N565" i="1" a="1"/>
  <c r="N565" i="1"/>
  <c r="N566" i="1" a="1"/>
  <c r="N566" i="1"/>
  <c r="N567" i="1" a="1"/>
  <c r="N567" i="1"/>
  <c r="N568" i="1" a="1"/>
  <c r="N568" i="1"/>
  <c r="N569" i="1" a="1"/>
  <c r="N569" i="1"/>
  <c r="N570" i="1" a="1"/>
  <c r="N570" i="1"/>
  <c r="N571" i="1" a="1"/>
  <c r="N571" i="1"/>
  <c r="N572" i="1" a="1"/>
  <c r="N572" i="1"/>
  <c r="N573" i="1" a="1"/>
  <c r="N573" i="1"/>
  <c r="N574" i="1" a="1"/>
  <c r="N574" i="1"/>
  <c r="N575" i="1" a="1"/>
  <c r="N575" i="1"/>
  <c r="N576" i="1" a="1"/>
  <c r="N576" i="1"/>
  <c r="N577" i="1" a="1"/>
  <c r="N577" i="1"/>
  <c r="N578" i="1" a="1"/>
  <c r="N578" i="1"/>
  <c r="N579" i="1" a="1"/>
  <c r="N579" i="1"/>
  <c r="N580" i="1" a="1"/>
  <c r="N580" i="1"/>
  <c r="N581" i="1" a="1"/>
  <c r="N581" i="1"/>
  <c r="N582" i="1" a="1"/>
  <c r="N582" i="1"/>
  <c r="N583" i="1" a="1"/>
  <c r="N583" i="1"/>
  <c r="N584" i="1" a="1"/>
  <c r="N584" i="1"/>
  <c r="N585" i="1" a="1"/>
  <c r="N585" i="1"/>
  <c r="N586" i="1" a="1"/>
  <c r="N586" i="1"/>
  <c r="N587" i="1" a="1"/>
  <c r="N587" i="1"/>
  <c r="N588" i="1" a="1"/>
  <c r="N588" i="1"/>
  <c r="N589" i="1" a="1"/>
  <c r="N589" i="1"/>
  <c r="N590" i="1" a="1"/>
  <c r="N590" i="1"/>
  <c r="N591" i="1" a="1"/>
  <c r="N591" i="1"/>
  <c r="N592" i="1" a="1"/>
  <c r="N592" i="1"/>
  <c r="N593" i="1" a="1"/>
  <c r="N593" i="1"/>
  <c r="N594" i="1" a="1"/>
  <c r="N594" i="1"/>
  <c r="N595" i="1" a="1"/>
  <c r="N595" i="1"/>
  <c r="N596" i="1" a="1"/>
  <c r="N596" i="1"/>
  <c r="N597" i="1" a="1"/>
  <c r="N597" i="1"/>
  <c r="N598" i="1" a="1"/>
  <c r="N598" i="1"/>
  <c r="N599" i="1" a="1"/>
  <c r="N599" i="1"/>
  <c r="N600" i="1" a="1"/>
  <c r="N600" i="1"/>
  <c r="N601" i="1" a="1"/>
  <c r="N601" i="1"/>
  <c r="N602" i="1" a="1"/>
  <c r="N602" i="1"/>
  <c r="N603" i="1" a="1"/>
  <c r="N603" i="1"/>
  <c r="N604" i="1" a="1"/>
  <c r="N604" i="1"/>
  <c r="N605" i="1" a="1"/>
  <c r="N605" i="1"/>
  <c r="N606" i="1" a="1"/>
  <c r="N606" i="1"/>
  <c r="N607" i="1" a="1"/>
  <c r="N607" i="1"/>
  <c r="N608" i="1" a="1"/>
  <c r="N608" i="1"/>
  <c r="N609" i="1" a="1"/>
  <c r="N609" i="1"/>
  <c r="N610" i="1" a="1"/>
  <c r="N610" i="1"/>
  <c r="N611" i="1" a="1"/>
  <c r="N611" i="1"/>
  <c r="N612" i="1" a="1"/>
  <c r="N612" i="1"/>
  <c r="N613" i="1" a="1"/>
  <c r="N613" i="1"/>
  <c r="N614" i="1" a="1"/>
  <c r="N614" i="1"/>
  <c r="N615" i="1" a="1"/>
  <c r="N615" i="1"/>
  <c r="N616" i="1" a="1"/>
  <c r="N616" i="1"/>
  <c r="N617" i="1" a="1"/>
  <c r="N617" i="1"/>
  <c r="N618" i="1" a="1"/>
  <c r="N618" i="1"/>
  <c r="N619" i="1" a="1"/>
  <c r="N619" i="1"/>
  <c r="N620" i="1" a="1"/>
  <c r="N620" i="1"/>
  <c r="N621" i="1" a="1"/>
  <c r="N621" i="1"/>
  <c r="N622" i="1" a="1"/>
  <c r="N622" i="1"/>
  <c r="N623" i="1" a="1"/>
  <c r="N623" i="1"/>
  <c r="N624" i="1" a="1"/>
  <c r="N624" i="1"/>
  <c r="N625" i="1" a="1"/>
  <c r="N625" i="1"/>
  <c r="N626" i="1" a="1"/>
  <c r="N626" i="1"/>
  <c r="N627" i="1" a="1"/>
  <c r="N627" i="1"/>
  <c r="N628" i="1" a="1"/>
  <c r="N628" i="1"/>
  <c r="N629" i="1" a="1"/>
  <c r="N629" i="1"/>
  <c r="N630" i="1" a="1"/>
  <c r="N630" i="1"/>
  <c r="N631" i="1" a="1"/>
  <c r="N631" i="1"/>
  <c r="N632" i="1" a="1"/>
  <c r="N632" i="1"/>
  <c r="N633" i="1" a="1"/>
  <c r="N633" i="1"/>
  <c r="N634" i="1" a="1"/>
  <c r="N634" i="1"/>
  <c r="N635" i="1" a="1"/>
  <c r="N635" i="1"/>
  <c r="N636" i="1" a="1"/>
  <c r="N636" i="1"/>
  <c r="N637" i="1" a="1"/>
  <c r="N637" i="1"/>
  <c r="N638" i="1" a="1"/>
  <c r="N638" i="1"/>
  <c r="N639" i="1" a="1"/>
  <c r="N639" i="1"/>
  <c r="N640" i="1" a="1"/>
  <c r="N640" i="1"/>
  <c r="N641" i="1" a="1"/>
  <c r="N641" i="1"/>
  <c r="N642" i="1" a="1"/>
  <c r="N642" i="1"/>
  <c r="N643" i="1" a="1"/>
  <c r="N643" i="1"/>
  <c r="N644" i="1" a="1"/>
  <c r="N644" i="1"/>
  <c r="N645" i="1" a="1"/>
  <c r="N645" i="1"/>
  <c r="N646" i="1" a="1"/>
  <c r="N646" i="1"/>
  <c r="N647" i="1" a="1"/>
  <c r="N647" i="1"/>
  <c r="N648" i="1" a="1"/>
  <c r="N648" i="1"/>
  <c r="N649" i="1" a="1"/>
  <c r="N649" i="1"/>
  <c r="N650" i="1" a="1"/>
  <c r="N650" i="1"/>
  <c r="N651" i="1" a="1"/>
  <c r="N651" i="1"/>
  <c r="N652" i="1" a="1"/>
  <c r="N652" i="1"/>
  <c r="N653" i="1" a="1"/>
  <c r="N653" i="1"/>
  <c r="N654" i="1" a="1"/>
  <c r="N654" i="1"/>
  <c r="N655" i="1" a="1"/>
  <c r="N655" i="1"/>
  <c r="N656" i="1" a="1"/>
  <c r="N656" i="1"/>
  <c r="N657" i="1" a="1"/>
  <c r="N657" i="1"/>
  <c r="N658" i="1" a="1"/>
  <c r="N658" i="1"/>
  <c r="N659" i="1" a="1"/>
  <c r="N659" i="1"/>
  <c r="N660" i="1" a="1"/>
  <c r="N660" i="1"/>
  <c r="N661" i="1" a="1"/>
  <c r="N661" i="1"/>
  <c r="N662" i="1" a="1"/>
  <c r="N662" i="1"/>
  <c r="N663" i="1" a="1"/>
  <c r="N663" i="1"/>
  <c r="N664" i="1" a="1"/>
  <c r="N664" i="1"/>
  <c r="N665" i="1" a="1"/>
  <c r="N665" i="1"/>
  <c r="N666" i="1" a="1"/>
  <c r="N666" i="1"/>
  <c r="N667" i="1" a="1"/>
  <c r="N667" i="1"/>
  <c r="N668" i="1" a="1"/>
  <c r="N668" i="1"/>
  <c r="N669" i="1" a="1"/>
  <c r="N669" i="1"/>
  <c r="N670" i="1" a="1"/>
  <c r="N670" i="1"/>
  <c r="N671" i="1" a="1"/>
  <c r="N671" i="1"/>
  <c r="N672" i="1" a="1"/>
  <c r="N672" i="1"/>
  <c r="N673" i="1" a="1"/>
  <c r="N673" i="1"/>
  <c r="N674" i="1" a="1"/>
  <c r="N674" i="1"/>
  <c r="N675" i="1" a="1"/>
  <c r="N675" i="1"/>
  <c r="N676" i="1" a="1"/>
  <c r="N676" i="1"/>
  <c r="N677" i="1" a="1"/>
  <c r="N677" i="1"/>
  <c r="N678" i="1" a="1"/>
  <c r="N678" i="1"/>
  <c r="N679" i="1" a="1"/>
  <c r="N679" i="1"/>
  <c r="N680" i="1" a="1"/>
  <c r="N680" i="1"/>
  <c r="N681" i="1" a="1"/>
  <c r="N681" i="1"/>
  <c r="N682" i="1" a="1"/>
  <c r="N682" i="1"/>
  <c r="N683" i="1" a="1"/>
  <c r="N683" i="1"/>
  <c r="N684" i="1" a="1"/>
  <c r="N684" i="1"/>
  <c r="N685" i="1" a="1"/>
  <c r="N685" i="1"/>
  <c r="N686" i="1" a="1"/>
  <c r="N686" i="1"/>
  <c r="N687" i="1" a="1"/>
  <c r="N687" i="1"/>
  <c r="N688" i="1" a="1"/>
  <c r="N688" i="1"/>
  <c r="N689" i="1" a="1"/>
  <c r="N689" i="1"/>
  <c r="N690" i="1" a="1"/>
  <c r="N690" i="1"/>
  <c r="N691" i="1" a="1"/>
  <c r="N691" i="1"/>
  <c r="N692" i="1" a="1"/>
  <c r="N692" i="1"/>
  <c r="N693" i="1" a="1"/>
  <c r="N693" i="1"/>
  <c r="N694" i="1" a="1"/>
  <c r="N694" i="1"/>
  <c r="N695" i="1" a="1"/>
  <c r="N695" i="1"/>
  <c r="N696" i="1" a="1"/>
  <c r="N696" i="1"/>
  <c r="N697" i="1" a="1"/>
  <c r="N697" i="1"/>
  <c r="N698" i="1" a="1"/>
  <c r="N698" i="1"/>
  <c r="N699" i="1" a="1"/>
  <c r="N699" i="1"/>
  <c r="N700" i="1" a="1"/>
  <c r="N700" i="1"/>
  <c r="N701" i="1" a="1"/>
  <c r="N701" i="1"/>
  <c r="N702" i="1" a="1"/>
  <c r="N702" i="1"/>
  <c r="N703" i="1" a="1"/>
  <c r="N703" i="1"/>
  <c r="N704" i="1" a="1"/>
  <c r="N704" i="1"/>
  <c r="N705" i="1" a="1"/>
  <c r="N705" i="1"/>
  <c r="N706" i="1" a="1"/>
  <c r="N706" i="1"/>
  <c r="N707" i="1" a="1"/>
  <c r="N707" i="1"/>
  <c r="N708" i="1" a="1"/>
  <c r="N708" i="1"/>
  <c r="N709" i="1" a="1"/>
  <c r="N709" i="1"/>
  <c r="N710" i="1" a="1"/>
  <c r="N710" i="1"/>
  <c r="N711" i="1" a="1"/>
  <c r="N711" i="1"/>
  <c r="N712" i="1" a="1"/>
  <c r="N712" i="1"/>
  <c r="N713" i="1" a="1"/>
  <c r="N713" i="1"/>
  <c r="N714" i="1" a="1"/>
  <c r="N714" i="1"/>
  <c r="N715" i="1" a="1"/>
  <c r="N715" i="1"/>
  <c r="N716" i="1" a="1"/>
  <c r="N716" i="1"/>
  <c r="N717" i="1" a="1"/>
  <c r="N717" i="1"/>
  <c r="N718" i="1" a="1"/>
  <c r="N718" i="1"/>
  <c r="N719" i="1" a="1"/>
  <c r="N719" i="1"/>
  <c r="N720" i="1" a="1"/>
  <c r="N720" i="1"/>
  <c r="N721" i="1" a="1"/>
  <c r="N721" i="1"/>
  <c r="N722" i="1" a="1"/>
  <c r="N722" i="1"/>
  <c r="N723" i="1" a="1"/>
  <c r="N723" i="1"/>
  <c r="N724" i="1" a="1"/>
  <c r="N724" i="1"/>
  <c r="N725" i="1" a="1"/>
  <c r="N725" i="1"/>
  <c r="N726" i="1" a="1"/>
  <c r="N726" i="1"/>
  <c r="N727" i="1" a="1"/>
  <c r="N727" i="1"/>
  <c r="N728" i="1" a="1"/>
  <c r="N728" i="1"/>
  <c r="N729" i="1" a="1"/>
  <c r="N729" i="1"/>
  <c r="N730" i="1" a="1"/>
  <c r="N730" i="1"/>
  <c r="N731" i="1" a="1"/>
  <c r="N731" i="1"/>
  <c r="N732" i="1" a="1"/>
  <c r="N732" i="1"/>
  <c r="N733" i="1" a="1"/>
  <c r="N733" i="1"/>
  <c r="N734" i="1" a="1"/>
  <c r="N734" i="1"/>
  <c r="N735" i="1" a="1"/>
  <c r="N735" i="1"/>
  <c r="N736" i="1" a="1"/>
  <c r="N736" i="1"/>
  <c r="N737" i="1" a="1"/>
  <c r="N737" i="1"/>
  <c r="N738" i="1" a="1"/>
  <c r="N738" i="1"/>
  <c r="N739" i="1" a="1"/>
  <c r="N739" i="1"/>
  <c r="N740" i="1" a="1"/>
  <c r="N740" i="1"/>
  <c r="N741" i="1" a="1"/>
  <c r="N741" i="1"/>
  <c r="N742" i="1" a="1"/>
  <c r="N742" i="1"/>
  <c r="N743" i="1" a="1"/>
  <c r="N743" i="1"/>
  <c r="N744" i="1" a="1"/>
  <c r="N744" i="1"/>
  <c r="N745" i="1" a="1"/>
  <c r="N745" i="1"/>
  <c r="N746" i="1" a="1"/>
  <c r="N746" i="1"/>
  <c r="N747" i="1" a="1"/>
  <c r="N747" i="1"/>
  <c r="N748" i="1" a="1"/>
  <c r="N748" i="1"/>
  <c r="N749" i="1" a="1"/>
  <c r="N749" i="1"/>
  <c r="N750" i="1" a="1"/>
  <c r="N750" i="1"/>
  <c r="N751" i="1" a="1"/>
  <c r="N751" i="1"/>
  <c r="N752" i="1" a="1"/>
  <c r="N752" i="1"/>
  <c r="N753" i="1" a="1"/>
  <c r="N753" i="1"/>
  <c r="N754" i="1" a="1"/>
  <c r="N754" i="1"/>
  <c r="N755" i="1" a="1"/>
  <c r="N755" i="1"/>
  <c r="N756" i="1" a="1"/>
  <c r="N756" i="1"/>
  <c r="N757" i="1" a="1"/>
  <c r="N757" i="1"/>
  <c r="N758" i="1" a="1"/>
  <c r="N758" i="1"/>
  <c r="N759" i="1" a="1"/>
  <c r="N759" i="1"/>
  <c r="N760" i="1" a="1"/>
  <c r="N760" i="1"/>
  <c r="N761" i="1" a="1"/>
  <c r="N761" i="1"/>
  <c r="N762" i="1" a="1"/>
  <c r="N762" i="1"/>
  <c r="N763" i="1" a="1"/>
  <c r="N763" i="1"/>
  <c r="N764" i="1" a="1"/>
  <c r="N764" i="1"/>
  <c r="N765" i="1" a="1"/>
  <c r="N765" i="1"/>
  <c r="N766" i="1" a="1"/>
  <c r="N766" i="1"/>
  <c r="N767" i="1" a="1"/>
  <c r="N767" i="1"/>
  <c r="N768" i="1" a="1"/>
  <c r="N768" i="1"/>
  <c r="N769" i="1" a="1"/>
  <c r="N769" i="1"/>
  <c r="N770" i="1" a="1"/>
  <c r="N770" i="1"/>
  <c r="N771" i="1" a="1"/>
  <c r="N771" i="1"/>
  <c r="N772" i="1" a="1"/>
  <c r="N772" i="1"/>
  <c r="N773" i="1" a="1"/>
  <c r="N773" i="1"/>
  <c r="N774" i="1" a="1"/>
  <c r="N774" i="1"/>
  <c r="N775" i="1" a="1"/>
  <c r="N775" i="1"/>
  <c r="N776" i="1" a="1"/>
  <c r="N776" i="1"/>
  <c r="N777" i="1" a="1"/>
  <c r="N777" i="1"/>
  <c r="N778" i="1" a="1"/>
  <c r="N778" i="1"/>
  <c r="N779" i="1" a="1"/>
  <c r="N779" i="1"/>
  <c r="N780" i="1" a="1"/>
  <c r="N780" i="1"/>
  <c r="N781" i="1" a="1"/>
  <c r="N781" i="1"/>
  <c r="N782" i="1" a="1"/>
  <c r="N782" i="1"/>
  <c r="N783" i="1" a="1"/>
  <c r="N783" i="1"/>
  <c r="N784" i="1" a="1"/>
  <c r="N784" i="1"/>
  <c r="N785" i="1" a="1"/>
  <c r="N785" i="1"/>
  <c r="N786" i="1" a="1"/>
  <c r="N786" i="1"/>
  <c r="N787" i="1" a="1"/>
  <c r="N787" i="1"/>
  <c r="N788" i="1" a="1"/>
  <c r="N788" i="1"/>
  <c r="N789" i="1" a="1"/>
  <c r="N789" i="1"/>
  <c r="N790" i="1" a="1"/>
  <c r="N790" i="1"/>
  <c r="N791" i="1" a="1"/>
  <c r="N791" i="1"/>
  <c r="N792" i="1" a="1"/>
  <c r="N792" i="1"/>
  <c r="N793" i="1" a="1"/>
  <c r="N79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B6D697-0FD5-4679-BE4D-D4CF643BB7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1145FB-A4E7-4391-B81E-46C391AF7EED}" name="WorksheetConnection_Employee Workforce Data.xlsx!Table1" type="102" refreshedVersion="8" minRefreshableVersion="5">
    <extLst>
      <ext xmlns:x15="http://schemas.microsoft.com/office/spreadsheetml/2010/11/main" uri="{DE250136-89BD-433C-8126-D09CA5730AF9}">
        <x15:connection id="Table1" autoDelete="1">
          <x15:rangePr sourceName="_xlcn.WorksheetConnection_EmployeeWorkforceData.xlsxTable1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Table1].[Status].&amp;[Active]}"/>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<sst xmlns="http://schemas.openxmlformats.org/spreadsheetml/2006/main" count="5652" uniqueCount="1572">
  <si>
    <t>EEID</t>
  </si>
  <si>
    <t>Full</t>
  </si>
  <si>
    <t>Gender</t>
  </si>
  <si>
    <t>Age</t>
  </si>
  <si>
    <t>Job</t>
  </si>
  <si>
    <t>Department</t>
  </si>
  <si>
    <t>Business</t>
  </si>
  <si>
    <t>Hire</t>
  </si>
  <si>
    <t>Exit</t>
  </si>
  <si>
    <t>Annual</t>
  </si>
  <si>
    <t>Bonus</t>
  </si>
  <si>
    <t>Status</t>
  </si>
  <si>
    <t>E01839</t>
  </si>
  <si>
    <t>Noah</t>
  </si>
  <si>
    <t>Female</t>
  </si>
  <si>
    <t>Auto Eng</t>
  </si>
  <si>
    <t>Engineering</t>
  </si>
  <si>
    <t>Corporate</t>
  </si>
  <si>
    <t>Inactive</t>
  </si>
  <si>
    <t>E04959</t>
  </si>
  <si>
    <t>Gabriella</t>
  </si>
  <si>
    <t>Male</t>
  </si>
  <si>
    <t xml:space="preserve"> Dev Eng</t>
  </si>
  <si>
    <t>Products</t>
  </si>
  <si>
    <t>Active</t>
  </si>
  <si>
    <t>E03047</t>
  </si>
  <si>
    <t>Alexander</t>
  </si>
  <si>
    <t>Sr. Acc Rep</t>
  </si>
  <si>
    <t>Sales</t>
  </si>
  <si>
    <t>E04458</t>
  </si>
  <si>
    <t>Emma</t>
  </si>
  <si>
    <t>Field Eng</t>
  </si>
  <si>
    <t>E02848</t>
  </si>
  <si>
    <t>Ezra</t>
  </si>
  <si>
    <t>R&amp;D</t>
  </si>
  <si>
    <t>E04332</t>
  </si>
  <si>
    <t>Asher</t>
  </si>
  <si>
    <t>E03438</t>
  </si>
  <si>
    <t>Riley</t>
  </si>
  <si>
    <t>E02769</t>
  </si>
  <si>
    <t>Caroline</t>
  </si>
  <si>
    <t>male</t>
  </si>
  <si>
    <t>Sr. Manger</t>
  </si>
  <si>
    <t>Finance</t>
  </si>
  <si>
    <t>E03277</t>
  </si>
  <si>
    <t>Victoria</t>
  </si>
  <si>
    <t>Marketing</t>
  </si>
  <si>
    <t>E02534</t>
  </si>
  <si>
    <t>Harper</t>
  </si>
  <si>
    <t>Accounting</t>
  </si>
  <si>
    <t>E03849</t>
  </si>
  <si>
    <t>Ethan</t>
  </si>
  <si>
    <t>Quality Eng</t>
  </si>
  <si>
    <t>Manufacturing</t>
  </si>
  <si>
    <t>E03807</t>
  </si>
  <si>
    <t>Leonardo</t>
  </si>
  <si>
    <t>E03223</t>
  </si>
  <si>
    <t>Ian</t>
  </si>
  <si>
    <t>IT Coord</t>
  </si>
  <si>
    <t>IT</t>
  </si>
  <si>
    <t>E02473</t>
  </si>
  <si>
    <t>Eli</t>
  </si>
  <si>
    <t>E03065</t>
  </si>
  <si>
    <t>Abigail</t>
  </si>
  <si>
    <t>E03563</t>
  </si>
  <si>
    <t>Avery</t>
  </si>
  <si>
    <t>Ops Eng</t>
  </si>
  <si>
    <t>E03227</t>
  </si>
  <si>
    <t>Leah</t>
  </si>
  <si>
    <t>E04969</t>
  </si>
  <si>
    <t>Henry</t>
  </si>
  <si>
    <t>E01706</t>
  </si>
  <si>
    <t>Anna</t>
  </si>
  <si>
    <t>E04109</t>
  </si>
  <si>
    <t>Emily</t>
  </si>
  <si>
    <t>E03994</t>
  </si>
  <si>
    <t>Santiago</t>
  </si>
  <si>
    <t>E00608</t>
  </si>
  <si>
    <t>Grayson</t>
  </si>
  <si>
    <t>E02259</t>
  </si>
  <si>
    <t>Jaxson</t>
  </si>
  <si>
    <t>Sr. Analyst</t>
  </si>
  <si>
    <t>E04369</t>
  </si>
  <si>
    <t>Thomas</t>
  </si>
  <si>
    <t>E04751</t>
  </si>
  <si>
    <t>Isabella</t>
  </si>
  <si>
    <t>E01684</t>
  </si>
  <si>
    <t>Dylan</t>
  </si>
  <si>
    <t>E00508</t>
  </si>
  <si>
    <t>Eleanor</t>
  </si>
  <si>
    <t>E02274</t>
  </si>
  <si>
    <t>Emery</t>
  </si>
  <si>
    <t>Net Admin</t>
  </si>
  <si>
    <t>E02453</t>
  </si>
  <si>
    <t>John</t>
  </si>
  <si>
    <t>E00956</t>
  </si>
  <si>
    <t>Ava</t>
  </si>
  <si>
    <t>E00126</t>
  </si>
  <si>
    <t>Natalia</t>
  </si>
  <si>
    <t>E04032</t>
  </si>
  <si>
    <t>Skylar</t>
  </si>
  <si>
    <t>E00716</t>
  </si>
  <si>
    <t>Christian</t>
  </si>
  <si>
    <t>E00699</t>
  </si>
  <si>
    <t>Penelope</t>
  </si>
  <si>
    <t>E00502</t>
  </si>
  <si>
    <t>Piper</t>
  </si>
  <si>
    <t>E04000</t>
  </si>
  <si>
    <t>Everly</t>
  </si>
  <si>
    <t>E02112</t>
  </si>
  <si>
    <t>Aurora</t>
  </si>
  <si>
    <t>E03824</t>
  </si>
  <si>
    <t>William</t>
  </si>
  <si>
    <t>E03906</t>
  </si>
  <si>
    <t>Jade</t>
  </si>
  <si>
    <t>E00436</t>
  </si>
  <si>
    <t>Isla</t>
  </si>
  <si>
    <t>E04798</t>
  </si>
  <si>
    <t>David</t>
  </si>
  <si>
    <t>E01249</t>
  </si>
  <si>
    <t>Miles</t>
  </si>
  <si>
    <t>E03349</t>
  </si>
  <si>
    <t>Mila</t>
  </si>
  <si>
    <t>E02966</t>
  </si>
  <si>
    <t>Benjamin</t>
  </si>
  <si>
    <t>E01499</t>
  </si>
  <si>
    <t>Samuel</t>
  </si>
  <si>
    <t>E00105</t>
  </si>
  <si>
    <t>Joseph</t>
  </si>
  <si>
    <t>E00665</t>
  </si>
  <si>
    <t>Jose</t>
  </si>
  <si>
    <t>E00791</t>
  </si>
  <si>
    <t>Parker</t>
  </si>
  <si>
    <t>E01540</t>
  </si>
  <si>
    <t>Everleigh</t>
  </si>
  <si>
    <t>E04474</t>
  </si>
  <si>
    <t>Lincoln</t>
  </si>
  <si>
    <t>E03417</t>
  </si>
  <si>
    <t>Willow</t>
  </si>
  <si>
    <t>E00254</t>
  </si>
  <si>
    <t>Jack</t>
  </si>
  <si>
    <t>E02166</t>
  </si>
  <si>
    <t>Genesis</t>
  </si>
  <si>
    <t>E00935</t>
  </si>
  <si>
    <t>Eliza</t>
  </si>
  <si>
    <t>E01525</t>
  </si>
  <si>
    <t>Gabriel</t>
  </si>
  <si>
    <t>E00386</t>
  </si>
  <si>
    <t>Amelia</t>
  </si>
  <si>
    <t>E00416</t>
  </si>
  <si>
    <t>Xavier</t>
  </si>
  <si>
    <t>E03383</t>
  </si>
  <si>
    <t>Matthew</t>
  </si>
  <si>
    <t>E01516</t>
  </si>
  <si>
    <t>Mia</t>
  </si>
  <si>
    <t>E01234</t>
  </si>
  <si>
    <t>Rylee</t>
  </si>
  <si>
    <t>E03440</t>
  </si>
  <si>
    <t>Zoe</t>
  </si>
  <si>
    <t>E00431</t>
  </si>
  <si>
    <t>Nolan</t>
  </si>
  <si>
    <t>E01258</t>
  </si>
  <si>
    <t>Nevaeh</t>
  </si>
  <si>
    <t>E00440</t>
  </si>
  <si>
    <t>Samantha</t>
  </si>
  <si>
    <t>E00595</t>
  </si>
  <si>
    <t>Madeline</t>
  </si>
  <si>
    <t>E00972</t>
  </si>
  <si>
    <t>Leilani</t>
  </si>
  <si>
    <t>E04562</t>
  </si>
  <si>
    <t>Connor</t>
  </si>
  <si>
    <t>E02802</t>
  </si>
  <si>
    <t>Ivy</t>
  </si>
  <si>
    <t>E01427</t>
  </si>
  <si>
    <t>Andrew</t>
  </si>
  <si>
    <t>E04568</t>
  </si>
  <si>
    <t>Ezekiel</t>
  </si>
  <si>
    <t>E04931</t>
  </si>
  <si>
    <t>Nova</t>
  </si>
  <si>
    <t>E00443</t>
  </si>
  <si>
    <t>Evelyn</t>
  </si>
  <si>
    <t>E03890</t>
  </si>
  <si>
    <t>Brooks</t>
  </si>
  <si>
    <t>E01194</t>
  </si>
  <si>
    <t>Scarlett</t>
  </si>
  <si>
    <t>E02875</t>
  </si>
  <si>
    <t>Cora</t>
  </si>
  <si>
    <t>Liam</t>
  </si>
  <si>
    <t>E03816</t>
  </si>
  <si>
    <t>Sophia</t>
  </si>
  <si>
    <t>E01261</t>
  </si>
  <si>
    <t>Athena</t>
  </si>
  <si>
    <t>E03612</t>
  </si>
  <si>
    <t>Greyson</t>
  </si>
  <si>
    <t>E01388</t>
  </si>
  <si>
    <t>Vivian</t>
  </si>
  <si>
    <t>E03875</t>
  </si>
  <si>
    <t>Elena</t>
  </si>
  <si>
    <t>E04413</t>
  </si>
  <si>
    <t>Mateo</t>
  </si>
  <si>
    <t>E00691</t>
  </si>
  <si>
    <t>Sophie</t>
  </si>
  <si>
    <t>Kennedy</t>
  </si>
  <si>
    <t>E04903</t>
  </si>
  <si>
    <t>Levi</t>
  </si>
  <si>
    <t>E04735</t>
  </si>
  <si>
    <t>Julian</t>
  </si>
  <si>
    <t>E02850</t>
  </si>
  <si>
    <t>Hannah</t>
  </si>
  <si>
    <t>E03583</t>
  </si>
  <si>
    <t>Anthony</t>
  </si>
  <si>
    <t>E02017</t>
  </si>
  <si>
    <t>Paisley</t>
  </si>
  <si>
    <t>E01642</t>
  </si>
  <si>
    <t>Silas</t>
  </si>
  <si>
    <t>E04379</t>
  </si>
  <si>
    <t>Colton</t>
  </si>
  <si>
    <t>E04131</t>
  </si>
  <si>
    <t>Elias</t>
  </si>
  <si>
    <t>E02872</t>
  </si>
  <si>
    <t>Lily</t>
  </si>
  <si>
    <t>E02331</t>
  </si>
  <si>
    <t>Jaxon</t>
  </si>
  <si>
    <t>E00417</t>
  </si>
  <si>
    <t>Elijah</t>
  </si>
  <si>
    <t>E04267</t>
  </si>
  <si>
    <t>Camila</t>
  </si>
  <si>
    <t>E03061</t>
  </si>
  <si>
    <t>Lucas</t>
  </si>
  <si>
    <t>E00013</t>
  </si>
  <si>
    <t>Hudson</t>
  </si>
  <si>
    <t>E04265</t>
  </si>
  <si>
    <t>Gianna</t>
  </si>
  <si>
    <t>E04769</t>
  </si>
  <si>
    <t>Jameson</t>
  </si>
  <si>
    <t>E03042</t>
  </si>
  <si>
    <t>Daniel</t>
  </si>
  <si>
    <t>E00527</t>
  </si>
  <si>
    <t>Mason</t>
  </si>
  <si>
    <t>E01095</t>
  </si>
  <si>
    <t>Nathan</t>
  </si>
  <si>
    <t>E03131</t>
  </si>
  <si>
    <t>Maria</t>
  </si>
  <si>
    <t>E01713</t>
  </si>
  <si>
    <t>Charlotte</t>
  </si>
  <si>
    <t>E00128</t>
  </si>
  <si>
    <t>Jeremiah</t>
  </si>
  <si>
    <t>Caleb</t>
  </si>
  <si>
    <t>E02464</t>
  </si>
  <si>
    <t>Carter</t>
  </si>
  <si>
    <t>E00306</t>
  </si>
  <si>
    <t>Ayla</t>
  </si>
  <si>
    <t>E03737</t>
  </si>
  <si>
    <t>Aubrey</t>
  </si>
  <si>
    <t>E02783</t>
  </si>
  <si>
    <t>Luna</t>
  </si>
  <si>
    <t>E02939</t>
  </si>
  <si>
    <t>Brooklyn</t>
  </si>
  <si>
    <t>E02706</t>
  </si>
  <si>
    <t>Hadley</t>
  </si>
  <si>
    <t>E00170</t>
  </si>
  <si>
    <t>Jonathan</t>
  </si>
  <si>
    <t>E01425</t>
  </si>
  <si>
    <t>Sarah</t>
  </si>
  <si>
    <t>E00130</t>
  </si>
  <si>
    <t>Ella</t>
  </si>
  <si>
    <t>E02094</t>
  </si>
  <si>
    <t>Jordan</t>
  </si>
  <si>
    <t>E03567</t>
  </si>
  <si>
    <t>Luca</t>
  </si>
  <si>
    <t>E04682</t>
  </si>
  <si>
    <t>Wesley</t>
  </si>
  <si>
    <t>E00957</t>
  </si>
  <si>
    <t>Hunter</t>
  </si>
  <si>
    <t>Sofia</t>
  </si>
  <si>
    <t>Lucy</t>
  </si>
  <si>
    <t>E00521</t>
  </si>
  <si>
    <t>Kai</t>
  </si>
  <si>
    <t>E03717</t>
  </si>
  <si>
    <t>Melody</t>
  </si>
  <si>
    <t>E01533</t>
  </si>
  <si>
    <t>James</t>
  </si>
  <si>
    <t>E04449</t>
  </si>
  <si>
    <t>Owen</t>
  </si>
  <si>
    <t>E02855</t>
  </si>
  <si>
    <t>Kinsley</t>
  </si>
  <si>
    <t>E00816</t>
  </si>
  <si>
    <t>Emilia</t>
  </si>
  <si>
    <t>E02283</t>
  </si>
  <si>
    <t>Eva</t>
  </si>
  <si>
    <t>E04888</t>
  </si>
  <si>
    <t>Luke</t>
  </si>
  <si>
    <t>E03907</t>
  </si>
  <si>
    <t>Charles</t>
  </si>
  <si>
    <t>Adam</t>
  </si>
  <si>
    <t>Cooper</t>
  </si>
  <si>
    <t>E01501</t>
  </si>
  <si>
    <t>Layla</t>
  </si>
  <si>
    <t>E01141</t>
  </si>
  <si>
    <t>Aria</t>
  </si>
  <si>
    <t>E02254</t>
  </si>
  <si>
    <t>Autumn</t>
  </si>
  <si>
    <t>E04504</t>
  </si>
  <si>
    <t>Axel</t>
  </si>
  <si>
    <t>E03394</t>
  </si>
  <si>
    <t>Cameron</t>
  </si>
  <si>
    <t>E02942</t>
  </si>
  <si>
    <t>Clara</t>
  </si>
  <si>
    <t>E04130</t>
  </si>
  <si>
    <t>Audrey</t>
  </si>
  <si>
    <t>Landon</t>
  </si>
  <si>
    <t>E00085</t>
  </si>
  <si>
    <t>Nora</t>
  </si>
  <si>
    <t>E03956</t>
  </si>
  <si>
    <t>Joshua</t>
  </si>
  <si>
    <t>E00672</t>
  </si>
  <si>
    <t>Logan</t>
  </si>
  <si>
    <t>E04618</t>
  </si>
  <si>
    <t>Christopher</t>
  </si>
  <si>
    <t>E03506</t>
  </si>
  <si>
    <t>Lillian</t>
  </si>
  <si>
    <t>E00568</t>
  </si>
  <si>
    <t>Julia</t>
  </si>
  <si>
    <t>E00535</t>
  </si>
  <si>
    <t>Hailey</t>
  </si>
  <si>
    <t>E04630</t>
  </si>
  <si>
    <t>Quinn</t>
  </si>
  <si>
    <t>E00874</t>
  </si>
  <si>
    <t>Dominic</t>
  </si>
  <si>
    <t>E01546</t>
  </si>
  <si>
    <t>Robert</t>
  </si>
  <si>
    <t>E00941</t>
  </si>
  <si>
    <t>Roman</t>
  </si>
  <si>
    <t>E03446</t>
  </si>
  <si>
    <t>Ellie</t>
  </si>
  <si>
    <t>E01361</t>
  </si>
  <si>
    <t>Violet</t>
  </si>
  <si>
    <t>E01631</t>
  </si>
  <si>
    <t>Isaac</t>
  </si>
  <si>
    <t>E03719</t>
  </si>
  <si>
    <t>Jayden</t>
  </si>
  <si>
    <t>E03269</t>
  </si>
  <si>
    <t>Aiden</t>
  </si>
  <si>
    <t>E01037</t>
  </si>
  <si>
    <t>Ruby</t>
  </si>
  <si>
    <t>E00671</t>
  </si>
  <si>
    <t>Leo</t>
  </si>
  <si>
    <t>E02216</t>
  </si>
  <si>
    <t>Allison</t>
  </si>
  <si>
    <t>E02803</t>
  </si>
  <si>
    <t>Jace</t>
  </si>
  <si>
    <t>E01584</t>
  </si>
  <si>
    <t>Jacob</t>
  </si>
  <si>
    <t>E02489</t>
  </si>
  <si>
    <t>Liliana</t>
  </si>
  <si>
    <t>female</t>
  </si>
  <si>
    <t>E03189</t>
  </si>
  <si>
    <t>Raelynn</t>
  </si>
  <si>
    <t>E03560</t>
  </si>
  <si>
    <t>Grace</t>
  </si>
  <si>
    <t>E00769</t>
  </si>
  <si>
    <t>Addison</t>
  </si>
  <si>
    <t>E02791</t>
  </si>
  <si>
    <t>Josephine</t>
  </si>
  <si>
    <t>E02333</t>
  </si>
  <si>
    <t>Maverick</t>
  </si>
  <si>
    <t>E01002</t>
  </si>
  <si>
    <t>Austin</t>
  </si>
  <si>
    <t>E03520</t>
  </si>
  <si>
    <t>Angel</t>
  </si>
  <si>
    <t>E00752</t>
  </si>
  <si>
    <t>Nicholas</t>
  </si>
  <si>
    <t>E00233</t>
  </si>
  <si>
    <t>Alice</t>
  </si>
  <si>
    <t>E02639</t>
  </si>
  <si>
    <t>Serenity</t>
  </si>
  <si>
    <t>E00697</t>
  </si>
  <si>
    <t>Madison</t>
  </si>
  <si>
    <t>E02183</t>
  </si>
  <si>
    <t>Maya</t>
  </si>
  <si>
    <t>E00715</t>
  </si>
  <si>
    <t>Olivia</t>
  </si>
  <si>
    <t>E04288</t>
  </si>
  <si>
    <t>Eloise</t>
  </si>
  <si>
    <t>E02421</t>
  </si>
  <si>
    <t>Lydia</t>
  </si>
  <si>
    <t>E00523</t>
  </si>
  <si>
    <t>Savannah</t>
  </si>
  <si>
    <t>E03615</t>
  </si>
  <si>
    <t>Natalie</t>
  </si>
  <si>
    <t>E02761</t>
  </si>
  <si>
    <t>Adeline</t>
  </si>
  <si>
    <t>E02121</t>
  </si>
  <si>
    <t>Eliana</t>
  </si>
  <si>
    <t>E01486</t>
  </si>
  <si>
    <t>Theodore</t>
  </si>
  <si>
    <t>E00725</t>
  </si>
  <si>
    <t>Bella</t>
  </si>
  <si>
    <t>E03027</t>
  </si>
  <si>
    <t>Everett</t>
  </si>
  <si>
    <t>E03689</t>
  </si>
  <si>
    <t>Madelyn</t>
  </si>
  <si>
    <t>E01986</t>
  </si>
  <si>
    <t>Adrian</t>
  </si>
  <si>
    <t>E01286</t>
  </si>
  <si>
    <t>Carson</t>
  </si>
  <si>
    <t>E01409</t>
  </si>
  <si>
    <t>Josiah</t>
  </si>
  <si>
    <t>E00626</t>
  </si>
  <si>
    <t>Claire</t>
  </si>
  <si>
    <t>E04342</t>
  </si>
  <si>
    <t>Peyton</t>
  </si>
  <si>
    <t>E03904</t>
  </si>
  <si>
    <t>Naomi</t>
  </si>
  <si>
    <t>E01291</t>
  </si>
  <si>
    <t>Lyla</t>
  </si>
  <si>
    <t>E00917</t>
  </si>
  <si>
    <t>Easton</t>
  </si>
  <si>
    <t>E01484</t>
  </si>
  <si>
    <t>Hazel</t>
  </si>
  <si>
    <t>E03864</t>
  </si>
  <si>
    <t>Ryan</t>
  </si>
  <si>
    <t>E00488</t>
  </si>
  <si>
    <t>Chloe</t>
  </si>
  <si>
    <t>E02227</t>
  </si>
  <si>
    <t>Kayden</t>
  </si>
  <si>
    <t>E04802</t>
  </si>
  <si>
    <t>Sebastian</t>
  </si>
  <si>
    <t>E01970</t>
  </si>
  <si>
    <t>Valentina</t>
  </si>
  <si>
    <t>E02813</t>
  </si>
  <si>
    <t>Aaron</t>
  </si>
  <si>
    <t>E02031</t>
  </si>
  <si>
    <t>Ariana</t>
  </si>
  <si>
    <t>E03252</t>
  </si>
  <si>
    <t>Jackson</t>
  </si>
  <si>
    <t>E04871</t>
  </si>
  <si>
    <t>Sadie</t>
  </si>
  <si>
    <t>E03547</t>
  </si>
  <si>
    <t>Aaliyah</t>
  </si>
  <si>
    <t>E04742</t>
  </si>
  <si>
    <t>Oliver</t>
  </si>
  <si>
    <t>E01070</t>
  </si>
  <si>
    <t>Davis</t>
  </si>
  <si>
    <t>E04359</t>
  </si>
  <si>
    <t>Dinh</t>
  </si>
  <si>
    <t>E03268</t>
  </si>
  <si>
    <t>Sanders</t>
  </si>
  <si>
    <t>E04035</t>
  </si>
  <si>
    <t>Vo</t>
  </si>
  <si>
    <t>E01221</t>
  </si>
  <si>
    <t>Gupta</t>
  </si>
  <si>
    <t>E00276</t>
  </si>
  <si>
    <t>Barnes</t>
  </si>
  <si>
    <t>E01687</t>
  </si>
  <si>
    <t>Martin</t>
  </si>
  <si>
    <t>E02844</t>
  </si>
  <si>
    <t>Bailey</t>
  </si>
  <si>
    <t>E01263</t>
  </si>
  <si>
    <t>Walker</t>
  </si>
  <si>
    <t>E00119</t>
  </si>
  <si>
    <t>Ali</t>
  </si>
  <si>
    <t>E03935</t>
  </si>
  <si>
    <t>Rogers</t>
  </si>
  <si>
    <t>E00742</t>
  </si>
  <si>
    <t>Jones</t>
  </si>
  <si>
    <t>E02810</t>
  </si>
  <si>
    <t>Ng</t>
  </si>
  <si>
    <t>E01860</t>
  </si>
  <si>
    <t>Yang</t>
  </si>
  <si>
    <t>E04890</t>
  </si>
  <si>
    <t>Xi</t>
  </si>
  <si>
    <t>E02285</t>
  </si>
  <si>
    <t>Powell</t>
  </si>
  <si>
    <t>E00842</t>
  </si>
  <si>
    <t>Silva</t>
  </si>
  <si>
    <t>E01271</t>
  </si>
  <si>
    <t>Dang</t>
  </si>
  <si>
    <t>E01921</t>
  </si>
  <si>
    <t>Alvarado</t>
  </si>
  <si>
    <t>E03664</t>
  </si>
  <si>
    <t>Rivera</t>
  </si>
  <si>
    <t>E00813</t>
  </si>
  <si>
    <t>Dixon</t>
  </si>
  <si>
    <t>E00870</t>
  </si>
  <si>
    <t>Her</t>
  </si>
  <si>
    <t>E04167</t>
  </si>
  <si>
    <t>Henderson</t>
  </si>
  <si>
    <t>E00245</t>
  </si>
  <si>
    <t>Mejia</t>
  </si>
  <si>
    <t>E00976</t>
  </si>
  <si>
    <t>Chin</t>
  </si>
  <si>
    <t>E04112</t>
  </si>
  <si>
    <t>Lu</t>
  </si>
  <si>
    <t>E01807</t>
  </si>
  <si>
    <t>Choi</t>
  </si>
  <si>
    <t>E04103</t>
  </si>
  <si>
    <t>Kumar</t>
  </si>
  <si>
    <t>E01412</t>
  </si>
  <si>
    <t>Guzman</t>
  </si>
  <si>
    <t>E04386</t>
  </si>
  <si>
    <t>Vu</t>
  </si>
  <si>
    <t>E01232</t>
  </si>
  <si>
    <t>Jenkins</t>
  </si>
  <si>
    <t>E04572</t>
  </si>
  <si>
    <t>Brown</t>
  </si>
  <si>
    <t>E02747</t>
  </si>
  <si>
    <t>Huang</t>
  </si>
  <si>
    <t>E01064</t>
  </si>
  <si>
    <t>Perry</t>
  </si>
  <si>
    <t>E00178</t>
  </si>
  <si>
    <t>Padilla</t>
  </si>
  <si>
    <t>E01091</t>
  </si>
  <si>
    <t>Pena</t>
  </si>
  <si>
    <t>Lam</t>
  </si>
  <si>
    <t>E01309</t>
  </si>
  <si>
    <t>Foster</t>
  </si>
  <si>
    <t>E02378</t>
  </si>
  <si>
    <t>Moore</t>
  </si>
  <si>
    <t>E04127</t>
  </si>
  <si>
    <t>Washington</t>
  </si>
  <si>
    <t>E02072</t>
  </si>
  <si>
    <t>Holmes</t>
  </si>
  <si>
    <t>E02555</t>
  </si>
  <si>
    <t>Rojas</t>
  </si>
  <si>
    <t>E00187</t>
  </si>
  <si>
    <t>Coleman</t>
  </si>
  <si>
    <t>Clark</t>
  </si>
  <si>
    <t>E02062</t>
  </si>
  <si>
    <t>Butler</t>
  </si>
  <si>
    <t>E00034</t>
  </si>
  <si>
    <t>Contreras</t>
  </si>
  <si>
    <t>E00273</t>
  </si>
  <si>
    <t>Yu</t>
  </si>
  <si>
    <t>Lewis</t>
  </si>
  <si>
    <t>E01403</t>
  </si>
  <si>
    <t>Do</t>
  </si>
  <si>
    <t>Chow</t>
  </si>
  <si>
    <t>E04136</t>
  </si>
  <si>
    <t>Ayala</t>
  </si>
  <si>
    <t>E02944</t>
  </si>
  <si>
    <t>Salazar</t>
  </si>
  <si>
    <t>E03300</t>
  </si>
  <si>
    <t>Carrillo</t>
  </si>
  <si>
    <t>E00078</t>
  </si>
  <si>
    <t>Richardson</t>
  </si>
  <si>
    <t>E00825</t>
  </si>
  <si>
    <t>Guerrero</t>
  </si>
  <si>
    <t>E04972</t>
  </si>
  <si>
    <t>Mehta</t>
  </si>
  <si>
    <t>E03941</t>
  </si>
  <si>
    <t>Espinoza</t>
  </si>
  <si>
    <t>E02148</t>
  </si>
  <si>
    <t>Chu</t>
  </si>
  <si>
    <t>E02252</t>
  </si>
  <si>
    <t>Hong</t>
  </si>
  <si>
    <t>E03096</t>
  </si>
  <si>
    <t>Moua</t>
  </si>
  <si>
    <t>E04800</t>
  </si>
  <si>
    <t>Morales</t>
  </si>
  <si>
    <t>E02838</t>
  </si>
  <si>
    <t>Soto</t>
  </si>
  <si>
    <t>E02980</t>
  </si>
  <si>
    <t>Ross</t>
  </si>
  <si>
    <t>E04477</t>
  </si>
  <si>
    <t>Fernandez</t>
  </si>
  <si>
    <t>E04348</t>
  </si>
  <si>
    <t>Hall</t>
  </si>
  <si>
    <t>E01638</t>
  </si>
  <si>
    <t>Mai</t>
  </si>
  <si>
    <t>E03419</t>
  </si>
  <si>
    <t>Cheng</t>
  </si>
  <si>
    <t>E04222</t>
  </si>
  <si>
    <t>Navarro</t>
  </si>
  <si>
    <t>E04126</t>
  </si>
  <si>
    <t>Hernandez</t>
  </si>
  <si>
    <t>E01896</t>
  </si>
  <si>
    <t>Huynh</t>
  </si>
  <si>
    <t>E03018</t>
  </si>
  <si>
    <t>Zheng</t>
  </si>
  <si>
    <t>E03325</t>
  </si>
  <si>
    <t>Chau</t>
  </si>
  <si>
    <t>E04037</t>
  </si>
  <si>
    <t>Romero</t>
  </si>
  <si>
    <t>E01902</t>
  </si>
  <si>
    <t>Bui</t>
  </si>
  <si>
    <t>E01466</t>
  </si>
  <si>
    <t>Adams</t>
  </si>
  <si>
    <t>E02038</t>
  </si>
  <si>
    <t>Shin</t>
  </si>
  <si>
    <t>E03474</t>
  </si>
  <si>
    <t>King</t>
  </si>
  <si>
    <t>E02744</t>
  </si>
  <si>
    <t>Simmons</t>
  </si>
  <si>
    <t>E00702</t>
  </si>
  <si>
    <t>Desai</t>
  </si>
  <si>
    <t>E03081</t>
  </si>
  <si>
    <t>Liu</t>
  </si>
  <si>
    <t>E01281</t>
  </si>
  <si>
    <t>Marquez</t>
  </si>
  <si>
    <t>E04029</t>
  </si>
  <si>
    <t>Rodriguez</t>
  </si>
  <si>
    <t>E01116</t>
  </si>
  <si>
    <t>Jung</t>
  </si>
  <si>
    <t>E01753</t>
  </si>
  <si>
    <t>Vang</t>
  </si>
  <si>
    <t>E04072</t>
  </si>
  <si>
    <t>Diaz</t>
  </si>
  <si>
    <t>Leung</t>
  </si>
  <si>
    <t>E04419</t>
  </si>
  <si>
    <t>Nelson</t>
  </si>
  <si>
    <t>E00467</t>
  </si>
  <si>
    <t>Lai</t>
  </si>
  <si>
    <t>E00365</t>
  </si>
  <si>
    <t>Reed</t>
  </si>
  <si>
    <t>Williams</t>
  </si>
  <si>
    <t>E03292</t>
  </si>
  <si>
    <t>Rahman</t>
  </si>
  <si>
    <t>E04779</t>
  </si>
  <si>
    <t>Mendez</t>
  </si>
  <si>
    <t>E00501</t>
  </si>
  <si>
    <t>Fong</t>
  </si>
  <si>
    <t>E01132</t>
  </si>
  <si>
    <t>Kang</t>
  </si>
  <si>
    <t>E00556</t>
  </si>
  <si>
    <t>Chavez</t>
  </si>
  <si>
    <t>E00311</t>
  </si>
  <si>
    <t>Thao</t>
  </si>
  <si>
    <t>E04567</t>
  </si>
  <si>
    <t>Bryant</t>
  </si>
  <si>
    <t>E04378</t>
  </si>
  <si>
    <t>Zhang</t>
  </si>
  <si>
    <t>E03251</t>
  </si>
  <si>
    <t>Ruiz</t>
  </si>
  <si>
    <t>E03167</t>
  </si>
  <si>
    <t>Hsu</t>
  </si>
  <si>
    <t>E03347</t>
  </si>
  <si>
    <t>Watson</t>
  </si>
  <si>
    <t>E03908</t>
  </si>
  <si>
    <t>Park</t>
  </si>
  <si>
    <t>E01351</t>
  </si>
  <si>
    <t>Doan</t>
  </si>
  <si>
    <t>E02681</t>
  </si>
  <si>
    <t>Sandoval</t>
  </si>
  <si>
    <t>Ly</t>
  </si>
  <si>
    <t>E00422</t>
  </si>
  <si>
    <t>Figueroa</t>
  </si>
  <si>
    <t>E00265</t>
  </si>
  <si>
    <t>Wong</t>
  </si>
  <si>
    <t>E04601</t>
  </si>
  <si>
    <t>Zhao</t>
  </si>
  <si>
    <t>E04816</t>
  </si>
  <si>
    <t>Garza</t>
  </si>
  <si>
    <t>E02147</t>
  </si>
  <si>
    <t>Griffin</t>
  </si>
  <si>
    <t>E02914</t>
  </si>
  <si>
    <t>Hill</t>
  </si>
  <si>
    <t>Yee</t>
  </si>
  <si>
    <t>E03972</t>
  </si>
  <si>
    <t>Cho</t>
  </si>
  <si>
    <t>E02189</t>
  </si>
  <si>
    <t>Wright</t>
  </si>
  <si>
    <t>E04290</t>
  </si>
  <si>
    <t>Reyes</t>
  </si>
  <si>
    <t>E03630</t>
  </si>
  <si>
    <t>White</t>
  </si>
  <si>
    <t>E00432</t>
  </si>
  <si>
    <t>Truong</t>
  </si>
  <si>
    <t>E03045</t>
  </si>
  <si>
    <t>Duong</t>
  </si>
  <si>
    <t>E01924</t>
  </si>
  <si>
    <t>Herrera</t>
  </si>
  <si>
    <t>E04877</t>
  </si>
  <si>
    <t>Gray</t>
  </si>
  <si>
    <t>E02770</t>
  </si>
  <si>
    <t>Sharma</t>
  </si>
  <si>
    <t>E04590</t>
  </si>
  <si>
    <t>Molina</t>
  </si>
  <si>
    <t>E01977</t>
  </si>
  <si>
    <t>Ortiz</t>
  </si>
  <si>
    <t>E01378</t>
  </si>
  <si>
    <t>Aguilar</t>
  </si>
  <si>
    <t>E04224</t>
  </si>
  <si>
    <t>Bell</t>
  </si>
  <si>
    <t>E03423</t>
  </si>
  <si>
    <t>Zhu</t>
  </si>
  <si>
    <t>Grant</t>
  </si>
  <si>
    <t>E00788</t>
  </si>
  <si>
    <t>Han</t>
  </si>
  <si>
    <t>E00207</t>
  </si>
  <si>
    <t>Vega</t>
  </si>
  <si>
    <t>E00834</t>
  </si>
  <si>
    <t>Johnson</t>
  </si>
  <si>
    <t>E04571</t>
  </si>
  <si>
    <t>Maldonado</t>
  </si>
  <si>
    <t>E02652</t>
  </si>
  <si>
    <t>Jiang</t>
  </si>
  <si>
    <t>E02693</t>
  </si>
  <si>
    <t>Mitchell</t>
  </si>
  <si>
    <t>E03359</t>
  </si>
  <si>
    <t>Torres</t>
  </si>
  <si>
    <t>E00399</t>
  </si>
  <si>
    <t>Edwards</t>
  </si>
  <si>
    <t>E02971</t>
  </si>
  <si>
    <t>Chan</t>
  </si>
  <si>
    <t>E03327</t>
  </si>
  <si>
    <t>Munoz</t>
  </si>
  <si>
    <t>E00900</t>
  </si>
  <si>
    <t>Daniels</t>
  </si>
  <si>
    <t>E00836</t>
  </si>
  <si>
    <t>Castro</t>
  </si>
  <si>
    <t>E03854</t>
  </si>
  <si>
    <t>Liang</t>
  </si>
  <si>
    <t>E04729</t>
  </si>
  <si>
    <t>Alvarez</t>
  </si>
  <si>
    <t>E00360</t>
  </si>
  <si>
    <t>Delgado</t>
  </si>
  <si>
    <t>E02284</t>
  </si>
  <si>
    <t>Evans</t>
  </si>
  <si>
    <t>E00181</t>
  </si>
  <si>
    <t>Li</t>
  </si>
  <si>
    <t>E04168</t>
  </si>
  <si>
    <t>Acosta</t>
  </si>
  <si>
    <t>E02861</t>
  </si>
  <si>
    <t>Smith</t>
  </si>
  <si>
    <t>E01357</t>
  </si>
  <si>
    <t>Robinson</t>
  </si>
  <si>
    <t>E04387</t>
  </si>
  <si>
    <t>Lopez</t>
  </si>
  <si>
    <t>E03090</t>
  </si>
  <si>
    <t>Owens</t>
  </si>
  <si>
    <t>E03591</t>
  </si>
  <si>
    <t>Cao</t>
  </si>
  <si>
    <t>E03328</t>
  </si>
  <si>
    <t>Garcia</t>
  </si>
  <si>
    <t>E04937</t>
  </si>
  <si>
    <t>Pham</t>
  </si>
  <si>
    <t>E00515</t>
  </si>
  <si>
    <t>He</t>
  </si>
  <si>
    <t>E01241</t>
  </si>
  <si>
    <t>Yi</t>
  </si>
  <si>
    <t>E03255</t>
  </si>
  <si>
    <t>Xiong</t>
  </si>
  <si>
    <t>E01711</t>
  </si>
  <si>
    <t>Baker</t>
  </si>
  <si>
    <t>E00500</t>
  </si>
  <si>
    <t>Martinez</t>
  </si>
  <si>
    <t>Chung</t>
  </si>
  <si>
    <t>E02728</t>
  </si>
  <si>
    <t>Jimenez</t>
  </si>
  <si>
    <t>E04749</t>
  </si>
  <si>
    <t>Tran</t>
  </si>
  <si>
    <t>E02023</t>
  </si>
  <si>
    <t>Luu</t>
  </si>
  <si>
    <t>E03166</t>
  </si>
  <si>
    <t>Ahmed</t>
  </si>
  <si>
    <t>E02599</t>
  </si>
  <si>
    <t>Patel</t>
  </si>
  <si>
    <t>E01014</t>
  </si>
  <si>
    <t>Patterson</t>
  </si>
  <si>
    <t>E04529</t>
  </si>
  <si>
    <t>Young</t>
  </si>
  <si>
    <t>Ho</t>
  </si>
  <si>
    <t>E00632</t>
  </si>
  <si>
    <t>Hoang</t>
  </si>
  <si>
    <t>E02108</t>
  </si>
  <si>
    <t>Medina</t>
  </si>
  <si>
    <t>E03802</t>
  </si>
  <si>
    <t>Vasquez</t>
  </si>
  <si>
    <t>E03685</t>
  </si>
  <si>
    <t>Wilson</t>
  </si>
  <si>
    <t>E01089</t>
  </si>
  <si>
    <t>Gomez</t>
  </si>
  <si>
    <t>E03988</t>
  </si>
  <si>
    <t>Gutierrez</t>
  </si>
  <si>
    <t>E00401</t>
  </si>
  <si>
    <t>Ramos</t>
  </si>
  <si>
    <t>E03429</t>
  </si>
  <si>
    <t>Gonzalez</t>
  </si>
  <si>
    <t>E02417</t>
  </si>
  <si>
    <t>Sun</t>
  </si>
  <si>
    <t>E00359</t>
  </si>
  <si>
    <t>Campos</t>
  </si>
  <si>
    <t>E02044</t>
  </si>
  <si>
    <t>Wu</t>
  </si>
  <si>
    <t>E01479</t>
  </si>
  <si>
    <t>Luong</t>
  </si>
  <si>
    <t>E04962</t>
  </si>
  <si>
    <t>Roberts</t>
  </si>
  <si>
    <t>Hu</t>
  </si>
  <si>
    <t>E03893</t>
  </si>
  <si>
    <t>Juarez</t>
  </si>
  <si>
    <t>E00553</t>
  </si>
  <si>
    <t>Ngo</t>
  </si>
  <si>
    <t>E03540</t>
  </si>
  <si>
    <t>Vazquez</t>
  </si>
  <si>
    <t>Ford</t>
  </si>
  <si>
    <t>Shah</t>
  </si>
  <si>
    <t>E04194</t>
  </si>
  <si>
    <t>Chang</t>
  </si>
  <si>
    <t>Phan</t>
  </si>
  <si>
    <t>E01762</t>
  </si>
  <si>
    <t>Tan</t>
  </si>
  <si>
    <t>E02632</t>
  </si>
  <si>
    <t>Yoon</t>
  </si>
  <si>
    <t>E04226</t>
  </si>
  <si>
    <t>Lim</t>
  </si>
  <si>
    <t>E04101</t>
  </si>
  <si>
    <t>Harris</t>
  </si>
  <si>
    <t>E01981</t>
  </si>
  <si>
    <t>Banks</t>
  </si>
  <si>
    <t>Flores</t>
  </si>
  <si>
    <t>E01238</t>
  </si>
  <si>
    <t>Woods</t>
  </si>
  <si>
    <t>E01118</t>
  </si>
  <si>
    <t>Khan</t>
  </si>
  <si>
    <t>E04041</t>
  </si>
  <si>
    <t>Taylor</t>
  </si>
  <si>
    <t>E04308</t>
  </si>
  <si>
    <t>Hwang</t>
  </si>
  <si>
    <t>E01052</t>
  </si>
  <si>
    <t>Lau</t>
  </si>
  <si>
    <t>E04165</t>
  </si>
  <si>
    <t>Stewart</t>
  </si>
  <si>
    <t>E02295</t>
  </si>
  <si>
    <t>Thompson</t>
  </si>
  <si>
    <t>E04546</t>
  </si>
  <si>
    <t>Miller</t>
  </si>
  <si>
    <t>E04217</t>
  </si>
  <si>
    <t>Dominguez</t>
  </si>
  <si>
    <t>E00650</t>
  </si>
  <si>
    <t>Lee</t>
  </si>
  <si>
    <t>E00344</t>
  </si>
  <si>
    <t>Nunez</t>
  </si>
  <si>
    <t>E04645</t>
  </si>
  <si>
    <t>Lin</t>
  </si>
  <si>
    <t>E03880</t>
  </si>
  <si>
    <t>Chen</t>
  </si>
  <si>
    <t>E02730</t>
  </si>
  <si>
    <t>Nguyen</t>
  </si>
  <si>
    <t>E04517</t>
  </si>
  <si>
    <t>Sanchez</t>
  </si>
  <si>
    <t>E00965</t>
  </si>
  <si>
    <t>Morris</t>
  </si>
  <si>
    <t>E04639</t>
  </si>
  <si>
    <t>Cruz</t>
  </si>
  <si>
    <t>E00465</t>
  </si>
  <si>
    <t>Collins</t>
  </si>
  <si>
    <t>E03058</t>
  </si>
  <si>
    <t>Howard</t>
  </si>
  <si>
    <t>E02337</t>
  </si>
  <si>
    <t>Song</t>
  </si>
  <si>
    <t>E04927</t>
  </si>
  <si>
    <t>Lo</t>
  </si>
  <si>
    <t>E03799</t>
  </si>
  <si>
    <t>Turner</t>
  </si>
  <si>
    <t>E04538</t>
  </si>
  <si>
    <t>Ma</t>
  </si>
  <si>
    <t>E02633</t>
  </si>
  <si>
    <t>Le</t>
  </si>
  <si>
    <t>E02965</t>
  </si>
  <si>
    <t>Castillo</t>
  </si>
  <si>
    <t>E04345</t>
  </si>
  <si>
    <t>Estrada</t>
  </si>
  <si>
    <t>E02895</t>
  </si>
  <si>
    <t>Cortez</t>
  </si>
  <si>
    <t>Ha</t>
  </si>
  <si>
    <t>E00758</t>
  </si>
  <si>
    <t>Scott</t>
  </si>
  <si>
    <t>E03750</t>
  </si>
  <si>
    <t>Kaur</t>
  </si>
  <si>
    <t>E00144</t>
  </si>
  <si>
    <t>Gonzales</t>
  </si>
  <si>
    <t>E02943</t>
  </si>
  <si>
    <t>Valdez</t>
  </si>
  <si>
    <t>E03901</t>
  </si>
  <si>
    <t>Singh</t>
  </si>
  <si>
    <t>E03461</t>
  </si>
  <si>
    <t>Ortega</t>
  </si>
  <si>
    <t>E03490</t>
  </si>
  <si>
    <t>Trinh</t>
  </si>
  <si>
    <t>E04466</t>
  </si>
  <si>
    <t>Allen</t>
  </si>
  <si>
    <t>E03226</t>
  </si>
  <si>
    <t>Avila</t>
  </si>
  <si>
    <t>E04607</t>
  </si>
  <si>
    <t>Vargas</t>
  </si>
  <si>
    <t>E02678</t>
  </si>
  <si>
    <t>Tang</t>
  </si>
  <si>
    <t>E02190</t>
  </si>
  <si>
    <t>Santos</t>
  </si>
  <si>
    <t>E00747</t>
  </si>
  <si>
    <t>Ramirez</t>
  </si>
  <si>
    <t>E00268</t>
  </si>
  <si>
    <t>Zhou</t>
  </si>
  <si>
    <t>E01416</t>
  </si>
  <si>
    <t>Kim</t>
  </si>
  <si>
    <t>E01524</t>
  </si>
  <si>
    <t>Perez</t>
  </si>
  <si>
    <t>Oh</t>
  </si>
  <si>
    <t>E02801</t>
  </si>
  <si>
    <t>Moreno</t>
  </si>
  <si>
    <t>E04155</t>
  </si>
  <si>
    <t>Campbell</t>
  </si>
  <si>
    <t>E01952</t>
  </si>
  <si>
    <t>Phillips</t>
  </si>
  <si>
    <t>E00116</t>
  </si>
  <si>
    <t>Mendoza</t>
  </si>
  <si>
    <t>E04811</t>
  </si>
  <si>
    <t>Green</t>
  </si>
  <si>
    <t>E00624</t>
  </si>
  <si>
    <t>Rios</t>
  </si>
  <si>
    <t>E03404</t>
  </si>
  <si>
    <t>Wyatt</t>
  </si>
  <si>
    <t>E01845</t>
  </si>
  <si>
    <t>Zoey</t>
  </si>
  <si>
    <t>E04784</t>
  </si>
  <si>
    <t>Elizabeth</t>
  </si>
  <si>
    <t>E00145</t>
  </si>
  <si>
    <t>Florence</t>
  </si>
  <si>
    <t>E00218</t>
  </si>
  <si>
    <t>Denise</t>
  </si>
  <si>
    <t>E02185</t>
  </si>
  <si>
    <t>Zavier</t>
  </si>
  <si>
    <t>Kinslee</t>
  </si>
  <si>
    <t>Peter</t>
  </si>
  <si>
    <t>E00784</t>
  </si>
  <si>
    <t>Isabelle</t>
  </si>
  <si>
    <t>E04925</t>
  </si>
  <si>
    <t>Ricky</t>
  </si>
  <si>
    <t>E04448</t>
  </si>
  <si>
    <t>Brooke</t>
  </si>
  <si>
    <t>E04817</t>
  </si>
  <si>
    <t>Nikolai</t>
  </si>
  <si>
    <t>E00325</t>
  </si>
  <si>
    <t>Frances</t>
  </si>
  <si>
    <t>E00403</t>
  </si>
  <si>
    <t>Hassan</t>
  </si>
  <si>
    <t>Adaline</t>
  </si>
  <si>
    <t>E04358</t>
  </si>
  <si>
    <t>Kingsley</t>
  </si>
  <si>
    <t>E04662</t>
  </si>
  <si>
    <t>Astrid</t>
  </si>
  <si>
    <t>E01496</t>
  </si>
  <si>
    <t>Valentino</t>
  </si>
  <si>
    <t>E01870</t>
  </si>
  <si>
    <t>Alberto</t>
  </si>
  <si>
    <t>E03971</t>
  </si>
  <si>
    <t>Trey</t>
  </si>
  <si>
    <t>E03616</t>
  </si>
  <si>
    <t>Kaylani</t>
  </si>
  <si>
    <t>E00153</t>
  </si>
  <si>
    <t>Devin</t>
  </si>
  <si>
    <t>E02313</t>
  </si>
  <si>
    <t>Helena</t>
  </si>
  <si>
    <t>E02960</t>
  </si>
  <si>
    <t>Brycen</t>
  </si>
  <si>
    <t>E00096</t>
  </si>
  <si>
    <t>Averie</t>
  </si>
  <si>
    <t>E02140</t>
  </si>
  <si>
    <t>Colter</t>
  </si>
  <si>
    <t>E00826</t>
  </si>
  <si>
    <t>Martha</t>
  </si>
  <si>
    <t>E03881</t>
  </si>
  <si>
    <t>Zyair</t>
  </si>
  <si>
    <t>E02604</t>
  </si>
  <si>
    <t>Angelina</t>
  </si>
  <si>
    <t>E02613</t>
  </si>
  <si>
    <t>Elaine</t>
  </si>
  <si>
    <t>E00864</t>
  </si>
  <si>
    <t>Samson</t>
  </si>
  <si>
    <t>E01760</t>
  </si>
  <si>
    <t>Noor</t>
  </si>
  <si>
    <t>Jacoby</t>
  </si>
  <si>
    <t>E01262</t>
  </si>
  <si>
    <t>Selena</t>
  </si>
  <si>
    <t>E01075</t>
  </si>
  <si>
    <t>Harley</t>
  </si>
  <si>
    <t>E00364</t>
  </si>
  <si>
    <t>Casen</t>
  </si>
  <si>
    <t>E04108</t>
  </si>
  <si>
    <t>Miranda</t>
  </si>
  <si>
    <t>E02917</t>
  </si>
  <si>
    <t>Aldo</t>
  </si>
  <si>
    <t>E03720</t>
  </si>
  <si>
    <t>Camilla</t>
  </si>
  <si>
    <t>E03393</t>
  </si>
  <si>
    <t>Zahir</t>
  </si>
  <si>
    <t>E02977</t>
  </si>
  <si>
    <t>Zane</t>
  </si>
  <si>
    <t>E03371</t>
  </si>
  <si>
    <t>Melissa</t>
  </si>
  <si>
    <t>E02531</t>
  </si>
  <si>
    <t>Vienna</t>
  </si>
  <si>
    <t>Raymond</t>
  </si>
  <si>
    <t>E02468</t>
  </si>
  <si>
    <t>Bruce</t>
  </si>
  <si>
    <t>Angelica</t>
  </si>
  <si>
    <t>E03697</t>
  </si>
  <si>
    <t>Rayden</t>
  </si>
  <si>
    <t>E00593</t>
  </si>
  <si>
    <t>Vera</t>
  </si>
  <si>
    <t>E01103</t>
  </si>
  <si>
    <t>Artemis</t>
  </si>
  <si>
    <t>E03889</t>
  </si>
  <si>
    <t>Saul</t>
  </si>
  <si>
    <t>E01958</t>
  </si>
  <si>
    <t>Kori</t>
  </si>
  <si>
    <t>Pearl</t>
  </si>
  <si>
    <t>E01167</t>
  </si>
  <si>
    <t>Wayne</t>
  </si>
  <si>
    <t>E00099</t>
  </si>
  <si>
    <t>Fatima</t>
  </si>
  <si>
    <t>E00044</t>
  </si>
  <si>
    <t>Pablo</t>
  </si>
  <si>
    <t>E00711</t>
  </si>
  <si>
    <t>Rosalyn</t>
  </si>
  <si>
    <t>E04795</t>
  </si>
  <si>
    <t>Yehuda</t>
  </si>
  <si>
    <t>E03912</t>
  </si>
  <si>
    <t>Malaysia</t>
  </si>
  <si>
    <t>E02103</t>
  </si>
  <si>
    <t>Omari</t>
  </si>
  <si>
    <t>E04213</t>
  </si>
  <si>
    <t>Paislee</t>
  </si>
  <si>
    <t>E04756</t>
  </si>
  <si>
    <t>Kieran</t>
  </si>
  <si>
    <t>E04114</t>
  </si>
  <si>
    <t>Khalani</t>
  </si>
  <si>
    <t>E01423</t>
  </si>
  <si>
    <t>Mac</t>
  </si>
  <si>
    <t>E03181</t>
  </si>
  <si>
    <t>Lacey</t>
  </si>
  <si>
    <t>E03305</t>
  </si>
  <si>
    <t>Alvaro</t>
  </si>
  <si>
    <t>E00703</t>
  </si>
  <si>
    <t>Rocco</t>
  </si>
  <si>
    <t>E04403</t>
  </si>
  <si>
    <t>Saige</t>
  </si>
  <si>
    <t>E00103</t>
  </si>
  <si>
    <t>Zeke</t>
  </si>
  <si>
    <t>E04487</t>
  </si>
  <si>
    <t>Iliana</t>
  </si>
  <si>
    <t>Antonio</t>
  </si>
  <si>
    <t>E02179</t>
  </si>
  <si>
    <t>Saoirse</t>
  </si>
  <si>
    <t>E04242</t>
  </si>
  <si>
    <t>Houston</t>
  </si>
  <si>
    <t>E01371</t>
  </si>
  <si>
    <t>Haley</t>
  </si>
  <si>
    <t>Promise</t>
  </si>
  <si>
    <t>E01377</t>
  </si>
  <si>
    <t>Lauren</t>
  </si>
  <si>
    <t>E03097</t>
  </si>
  <si>
    <t>Bellamy</t>
  </si>
  <si>
    <t>E01668</t>
  </si>
  <si>
    <t>Lilian</t>
  </si>
  <si>
    <t>E03354</t>
  </si>
  <si>
    <t>Seth</t>
  </si>
  <si>
    <t>E02088</t>
  </si>
  <si>
    <t>Josie</t>
  </si>
  <si>
    <t>E03980</t>
  </si>
  <si>
    <t>Makenzie</t>
  </si>
  <si>
    <t>Romina</t>
  </si>
  <si>
    <t>E00824</t>
  </si>
  <si>
    <t>Arturo</t>
  </si>
  <si>
    <t>Della</t>
  </si>
  <si>
    <t>E03113</t>
  </si>
  <si>
    <t>Mack</t>
  </si>
  <si>
    <t>E01488</t>
  </si>
  <si>
    <t>Bowen</t>
  </si>
  <si>
    <t>E01787</t>
  </si>
  <si>
    <t>Cannon</t>
  </si>
  <si>
    <t>E03550</t>
  </si>
  <si>
    <t>Paloma</t>
  </si>
  <si>
    <t>Holland</t>
  </si>
  <si>
    <t>E04799</t>
  </si>
  <si>
    <t>Tristen</t>
  </si>
  <si>
    <t>E03402</t>
  </si>
  <si>
    <t>Sky</t>
  </si>
  <si>
    <t>E04128</t>
  </si>
  <si>
    <t>Annabella</t>
  </si>
  <si>
    <t>Izaiah</t>
  </si>
  <si>
    <t>E03114</t>
  </si>
  <si>
    <t>Rowen</t>
  </si>
  <si>
    <t>E04004</t>
  </si>
  <si>
    <t>Elliot</t>
  </si>
  <si>
    <t>E04472</t>
  </si>
  <si>
    <t>Wes</t>
  </si>
  <si>
    <t>E00161</t>
  </si>
  <si>
    <t>Giana</t>
  </si>
  <si>
    <t>E04417</t>
  </si>
  <si>
    <t>Dayton</t>
  </si>
  <si>
    <t>E04536</t>
  </si>
  <si>
    <t>Emilio</t>
  </si>
  <si>
    <t>Sarai</t>
  </si>
  <si>
    <t>E02857</t>
  </si>
  <si>
    <t>Paige</t>
  </si>
  <si>
    <t>E03059</t>
  </si>
  <si>
    <t>Dane</t>
  </si>
  <si>
    <t>E02477</t>
  </si>
  <si>
    <t>Zoya</t>
  </si>
  <si>
    <t>E00022</t>
  </si>
  <si>
    <t>Jasper</t>
  </si>
  <si>
    <t>E03370</t>
  </si>
  <si>
    <t>Hadassah</t>
  </si>
  <si>
    <t>E00555</t>
  </si>
  <si>
    <t>Rocky</t>
  </si>
  <si>
    <t>E03160</t>
  </si>
  <si>
    <t>Addyson</t>
  </si>
  <si>
    <t>E03919</t>
  </si>
  <si>
    <t>Edgar</t>
  </si>
  <si>
    <t>E01724</t>
  </si>
  <si>
    <t>Ariya</t>
  </si>
  <si>
    <t>E04087</t>
  </si>
  <si>
    <t>Daxton</t>
  </si>
  <si>
    <t>E02856</t>
  </si>
  <si>
    <t>Noelle</t>
  </si>
  <si>
    <t>E03805</t>
  </si>
  <si>
    <t>Travis</t>
  </si>
  <si>
    <t>E00319</t>
  </si>
  <si>
    <t>Itzel</t>
  </si>
  <si>
    <t>E01090</t>
  </si>
  <si>
    <t>Stefan</t>
  </si>
  <si>
    <t>E04323</t>
  </si>
  <si>
    <t>Pedro</t>
  </si>
  <si>
    <t>E02687</t>
  </si>
  <si>
    <t>Azariah</t>
  </si>
  <si>
    <t>E01407</t>
  </si>
  <si>
    <t>Wesson</t>
  </si>
  <si>
    <t>E02748</t>
  </si>
  <si>
    <t>Malani</t>
  </si>
  <si>
    <t>E01995</t>
  </si>
  <si>
    <t>Frank</t>
  </si>
  <si>
    <t>E01714</t>
  </si>
  <si>
    <t>Zoie</t>
  </si>
  <si>
    <t>E04491</t>
  </si>
  <si>
    <t>Romeo</t>
  </si>
  <si>
    <t>E01076</t>
  </si>
  <si>
    <t>Danna</t>
  </si>
  <si>
    <t>Clyde</t>
  </si>
  <si>
    <t>E02843</t>
  </si>
  <si>
    <t>Zhuri</t>
  </si>
  <si>
    <t>E03758</t>
  </si>
  <si>
    <t>Ariel</t>
  </si>
  <si>
    <t>E02063</t>
  </si>
  <si>
    <t>Penny</t>
  </si>
  <si>
    <t>E00638</t>
  </si>
  <si>
    <t>Branson</t>
  </si>
  <si>
    <t>E03571</t>
  </si>
  <si>
    <t>Maren</t>
  </si>
  <si>
    <t>E01820</t>
  </si>
  <si>
    <t>Diego</t>
  </si>
  <si>
    <t>E01712</t>
  </si>
  <si>
    <t>Kendra</t>
  </si>
  <si>
    <t>E00184</t>
  </si>
  <si>
    <t>Weston</t>
  </si>
  <si>
    <t>Hayden</t>
  </si>
  <si>
    <t>E02899</t>
  </si>
  <si>
    <t>Lane</t>
  </si>
  <si>
    <t>E02478</t>
  </si>
  <si>
    <t>Kamryn</t>
  </si>
  <si>
    <t>E04170</t>
  </si>
  <si>
    <t>Vance</t>
  </si>
  <si>
    <t>E00929</t>
  </si>
  <si>
    <t>Gabrielle</t>
  </si>
  <si>
    <t>E00530</t>
  </si>
  <si>
    <t>Santana</t>
  </si>
  <si>
    <t>Royalty</t>
  </si>
  <si>
    <t>E02492</t>
  </si>
  <si>
    <t>Charli</t>
  </si>
  <si>
    <t>E01733</t>
  </si>
  <si>
    <t>Maximilian</t>
  </si>
  <si>
    <t>Lillie</t>
  </si>
  <si>
    <t>Juliette</t>
  </si>
  <si>
    <t>E04150</t>
  </si>
  <si>
    <t>Willa</t>
  </si>
  <si>
    <t>E02846</t>
  </si>
  <si>
    <t>Atreus</t>
  </si>
  <si>
    <t>E04247</t>
  </si>
  <si>
    <t>Ariah</t>
  </si>
  <si>
    <t>Bear</t>
  </si>
  <si>
    <t>Dahlia</t>
  </si>
  <si>
    <t>E03648</t>
  </si>
  <si>
    <t>Drake</t>
  </si>
  <si>
    <t>E02192</t>
  </si>
  <si>
    <t>Keira</t>
  </si>
  <si>
    <t>E03981</t>
  </si>
  <si>
    <t>Jamison</t>
  </si>
  <si>
    <t>E03262</t>
  </si>
  <si>
    <t>Oaklyn</t>
  </si>
  <si>
    <t>E02716</t>
  </si>
  <si>
    <t>Fisher</t>
  </si>
  <si>
    <t>Kennedi</t>
  </si>
  <si>
    <t>E04123</t>
  </si>
  <si>
    <t>Dallas</t>
  </si>
  <si>
    <t>E03471</t>
  </si>
  <si>
    <t>Amber</t>
  </si>
  <si>
    <t>E00717</t>
  </si>
  <si>
    <t>Marcel</t>
  </si>
  <si>
    <t>E01966</t>
  </si>
  <si>
    <t>Capri</t>
  </si>
  <si>
    <t>E03683</t>
  </si>
  <si>
    <t>Jefferson</t>
  </si>
  <si>
    <t>E03694</t>
  </si>
  <si>
    <t>Odin</t>
  </si>
  <si>
    <t>E04766</t>
  </si>
  <si>
    <t>Matias</t>
  </si>
  <si>
    <t>E01465</t>
  </si>
  <si>
    <t>Madeleine</t>
  </si>
  <si>
    <t>E00206</t>
  </si>
  <si>
    <t>Justin</t>
  </si>
  <si>
    <t>E04088</t>
  </si>
  <si>
    <t>Alexandria</t>
  </si>
  <si>
    <t>E02066</t>
  </si>
  <si>
    <t>Killian</t>
  </si>
  <si>
    <t>Laney</t>
  </si>
  <si>
    <t>E03364</t>
  </si>
  <si>
    <t>Yahir</t>
  </si>
  <si>
    <t>E00607</t>
  </si>
  <si>
    <t>Charleigh</t>
  </si>
  <si>
    <t>E02258</t>
  </si>
  <si>
    <t>Willie</t>
  </si>
  <si>
    <t>E03681</t>
  </si>
  <si>
    <t>Brecken</t>
  </si>
  <si>
    <t>E02298</t>
  </si>
  <si>
    <t>Evie</t>
  </si>
  <si>
    <t>E02984</t>
  </si>
  <si>
    <t>Legend</t>
  </si>
  <si>
    <t>E02440</t>
  </si>
  <si>
    <t>Harlee</t>
  </si>
  <si>
    <t>E04699</t>
  </si>
  <si>
    <t>Raphael</t>
  </si>
  <si>
    <t>E03579</t>
  </si>
  <si>
    <t>Sierra</t>
  </si>
  <si>
    <t>E01649</t>
  </si>
  <si>
    <t>Harvey</t>
  </si>
  <si>
    <t>Presley</t>
  </si>
  <si>
    <t>Chaim</t>
  </si>
  <si>
    <t>E00955</t>
  </si>
  <si>
    <t>Estelle</t>
  </si>
  <si>
    <t>E00810</t>
  </si>
  <si>
    <t>Spencer</t>
  </si>
  <si>
    <t>E02798</t>
  </si>
  <si>
    <t>Eric</t>
  </si>
  <si>
    <t>E04542</t>
  </si>
  <si>
    <t>Remy</t>
  </si>
  <si>
    <t>E02818</t>
  </si>
  <si>
    <t>Beatrice</t>
  </si>
  <si>
    <t>E02907</t>
  </si>
  <si>
    <t>Gunner</t>
  </si>
  <si>
    <t>E00023</t>
  </si>
  <si>
    <t>Thalia</t>
  </si>
  <si>
    <t>E02391</t>
  </si>
  <si>
    <t>Layton</t>
  </si>
  <si>
    <t>E01429</t>
  </si>
  <si>
    <t>Allyson</t>
  </si>
  <si>
    <t>E00494</t>
  </si>
  <si>
    <t>Kamari</t>
  </si>
  <si>
    <t>E00634</t>
  </si>
  <si>
    <t>Ashlynn</t>
  </si>
  <si>
    <t>Landry</t>
  </si>
  <si>
    <t>E04683</t>
  </si>
  <si>
    <t>Wallace</t>
  </si>
  <si>
    <t>E04732</t>
  </si>
  <si>
    <t>Zion</t>
  </si>
  <si>
    <t>E03834</t>
  </si>
  <si>
    <t>Cayden</t>
  </si>
  <si>
    <t>E02923</t>
  </si>
  <si>
    <t>Roland</t>
  </si>
  <si>
    <t>E02642</t>
  </si>
  <si>
    <t>Joe</t>
  </si>
  <si>
    <t>E00981</t>
  </si>
  <si>
    <t>Teresa</t>
  </si>
  <si>
    <t>E04157</t>
  </si>
  <si>
    <t>Cohen</t>
  </si>
  <si>
    <t>E03528</t>
  </si>
  <si>
    <t>Amaya</t>
  </si>
  <si>
    <t>E04547</t>
  </si>
  <si>
    <t>Aziel</t>
  </si>
  <si>
    <t>E04415</t>
  </si>
  <si>
    <t>Anika</t>
  </si>
  <si>
    <t>E04484</t>
  </si>
  <si>
    <t>Roy</t>
  </si>
  <si>
    <t>E02800</t>
  </si>
  <si>
    <t>Meghan</t>
  </si>
  <si>
    <t>E04926</t>
  </si>
  <si>
    <t>Briar</t>
  </si>
  <si>
    <t>E01268</t>
  </si>
  <si>
    <t>Alisson</t>
  </si>
  <si>
    <t>E04853</t>
  </si>
  <si>
    <t>Lukas</t>
  </si>
  <si>
    <t>E01209</t>
  </si>
  <si>
    <t>Kiara</t>
  </si>
  <si>
    <t>E02024</t>
  </si>
  <si>
    <t>Reid</t>
  </si>
  <si>
    <t>E02427</t>
  </si>
  <si>
    <t>Mae</t>
  </si>
  <si>
    <t>Keith</t>
  </si>
  <si>
    <t>E00951</t>
  </si>
  <si>
    <t>Sterling</t>
  </si>
  <si>
    <t>E03248</t>
  </si>
  <si>
    <t>Rayne</t>
  </si>
  <si>
    <t>E04444</t>
  </si>
  <si>
    <t>Blake</t>
  </si>
  <si>
    <t>E02307</t>
  </si>
  <si>
    <t>Zendaya</t>
  </si>
  <si>
    <t>E02375</t>
  </si>
  <si>
    <t>Kameron</t>
  </si>
  <si>
    <t>E02276</t>
  </si>
  <si>
    <t>Estella</t>
  </si>
  <si>
    <t>E02649</t>
  </si>
  <si>
    <t>Louie</t>
  </si>
  <si>
    <t>E00503</t>
  </si>
  <si>
    <t>Everlee</t>
  </si>
  <si>
    <t>Aden</t>
  </si>
  <si>
    <t>E00676</t>
  </si>
  <si>
    <t>Laila</t>
  </si>
  <si>
    <t>E02005</t>
  </si>
  <si>
    <t>Johnathan</t>
  </si>
  <si>
    <t>E01895</t>
  </si>
  <si>
    <t>Alaiya</t>
  </si>
  <si>
    <t>E01396</t>
  </si>
  <si>
    <t>Averi</t>
  </si>
  <si>
    <t>E00749</t>
  </si>
  <si>
    <t>Victor</t>
  </si>
  <si>
    <t>E01941</t>
  </si>
  <si>
    <t>Marie</t>
  </si>
  <si>
    <t>E01413</t>
  </si>
  <si>
    <t>Magnolia</t>
  </si>
  <si>
    <t>E03928</t>
  </si>
  <si>
    <t>Lawson</t>
  </si>
  <si>
    <t>Adelina</t>
  </si>
  <si>
    <t>Hendrix</t>
  </si>
  <si>
    <t>E00639</t>
  </si>
  <si>
    <t>Braylon</t>
  </si>
  <si>
    <t>Meadow</t>
  </si>
  <si>
    <t>E04189</t>
  </si>
  <si>
    <t>Franklin</t>
  </si>
  <si>
    <t>E02732</t>
  </si>
  <si>
    <t>Alaina</t>
  </si>
  <si>
    <t>E00324</t>
  </si>
  <si>
    <t>Dakari</t>
  </si>
  <si>
    <t>E00518</t>
  </si>
  <si>
    <t>Oaklynn</t>
  </si>
  <si>
    <t>Raylan</t>
  </si>
  <si>
    <t>E04564</t>
  </si>
  <si>
    <t>Jakari</t>
  </si>
  <si>
    <t>E02033</t>
  </si>
  <si>
    <t>Rhett</t>
  </si>
  <si>
    <t>E00412</t>
  </si>
  <si>
    <t>Lennox</t>
  </si>
  <si>
    <t>E01844</t>
  </si>
  <si>
    <t>Jaxx</t>
  </si>
  <si>
    <t>E00667</t>
  </si>
  <si>
    <t>Kaliyah</t>
  </si>
  <si>
    <t>Adelynn</t>
  </si>
  <si>
    <t>E00287</t>
  </si>
  <si>
    <t>Evan</t>
  </si>
  <si>
    <t>E02235</t>
  </si>
  <si>
    <t>Rebekah</t>
  </si>
  <si>
    <t>Calvin</t>
  </si>
  <si>
    <t>E00647</t>
  </si>
  <si>
    <t>Eston</t>
  </si>
  <si>
    <t>E02522</t>
  </si>
  <si>
    <t>Alora</t>
  </si>
  <si>
    <t>E00459</t>
  </si>
  <si>
    <t>Yareli</t>
  </si>
  <si>
    <t>E03007</t>
  </si>
  <si>
    <t>Amos</t>
  </si>
  <si>
    <t>lilah</t>
  </si>
  <si>
    <t>E00952</t>
  </si>
  <si>
    <t>Layne</t>
  </si>
  <si>
    <t>E03863</t>
  </si>
  <si>
    <t>Eve</t>
  </si>
  <si>
    <t>E02710</t>
  </si>
  <si>
    <t>Enzo</t>
  </si>
  <si>
    <t>lakai</t>
  </si>
  <si>
    <t>E01339</t>
  </si>
  <si>
    <t>Monica</t>
  </si>
  <si>
    <t>E02938</t>
  </si>
  <si>
    <t>Esteban</t>
  </si>
  <si>
    <t>E03379</t>
  </si>
  <si>
    <t>Remi</t>
  </si>
  <si>
    <t>E02153</t>
  </si>
  <si>
    <t>Journee</t>
  </si>
  <si>
    <t>E00994</t>
  </si>
  <si>
    <t>Ameer</t>
  </si>
  <si>
    <t>E00943</t>
  </si>
  <si>
    <t>Ismael</t>
  </si>
  <si>
    <t>E00869</t>
  </si>
  <si>
    <t>Corinne</t>
  </si>
  <si>
    <t>E03457</t>
  </si>
  <si>
    <t>Frederick</t>
  </si>
  <si>
    <t>E02193</t>
  </si>
  <si>
    <t>Richard</t>
  </si>
  <si>
    <t>E00577</t>
  </si>
  <si>
    <t>Ayleen</t>
  </si>
  <si>
    <t>E00538</t>
  </si>
  <si>
    <t>Wells</t>
  </si>
  <si>
    <t>E01415</t>
  </si>
  <si>
    <t>Daphne</t>
  </si>
  <si>
    <t>Macy</t>
  </si>
  <si>
    <t>E00225</t>
  </si>
  <si>
    <t>Thaddeus</t>
  </si>
  <si>
    <t>E02889</t>
  </si>
  <si>
    <t>Mariah</t>
  </si>
  <si>
    <t>E04978</t>
  </si>
  <si>
    <t>Kaison</t>
  </si>
  <si>
    <t>E04163</t>
  </si>
  <si>
    <t>Shawn</t>
  </si>
  <si>
    <t>E01652</t>
  </si>
  <si>
    <t>Harmoni</t>
  </si>
  <si>
    <t>E00880</t>
  </si>
  <si>
    <t>Dominick</t>
  </si>
  <si>
    <t>E04335</t>
  </si>
  <si>
    <t>Kylie</t>
  </si>
  <si>
    <t>E01300</t>
  </si>
  <si>
    <t>Finnegan</t>
  </si>
  <si>
    <t>E03102</t>
  </si>
  <si>
    <t>Scarlet</t>
  </si>
  <si>
    <t>E04089</t>
  </si>
  <si>
    <t>Jayce</t>
  </si>
  <si>
    <t>E02059</t>
  </si>
  <si>
    <t>Andi</t>
  </si>
  <si>
    <t>E03894</t>
  </si>
  <si>
    <t>Keaton</t>
  </si>
  <si>
    <t>E03106</t>
  </si>
  <si>
    <t>Warren</t>
  </si>
  <si>
    <t>E01350</t>
  </si>
  <si>
    <t>Sara</t>
  </si>
  <si>
    <t>E02900</t>
  </si>
  <si>
    <t>Terry</t>
  </si>
  <si>
    <t>E02202</t>
  </si>
  <si>
    <t>Shelby</t>
  </si>
  <si>
    <t>E02696</t>
  </si>
  <si>
    <t>Colt</t>
  </si>
  <si>
    <t>E01722</t>
  </si>
  <si>
    <t>Memphis</t>
  </si>
  <si>
    <t>Vivienne</t>
  </si>
  <si>
    <t>E00640</t>
  </si>
  <si>
    <t>Thatcher</t>
  </si>
  <si>
    <t>E02554</t>
  </si>
  <si>
    <t>Annalise</t>
  </si>
  <si>
    <t>E03412</t>
  </si>
  <si>
    <t>Morgan</t>
  </si>
  <si>
    <t>E00646</t>
  </si>
  <si>
    <t>Nixon</t>
  </si>
  <si>
    <t>E04670</t>
  </si>
  <si>
    <t>Colette</t>
  </si>
  <si>
    <t>E03580</t>
  </si>
  <si>
    <t>Eduardo</t>
  </si>
  <si>
    <t>E00446</t>
  </si>
  <si>
    <t>Winter</t>
  </si>
  <si>
    <t>E02363</t>
  </si>
  <si>
    <t>Anastasia</t>
  </si>
  <si>
    <t>E03718</t>
  </si>
  <si>
    <t>Magnus</t>
  </si>
  <si>
    <t>E01749</t>
  </si>
  <si>
    <t>Cleo</t>
  </si>
  <si>
    <t>E02888</t>
  </si>
  <si>
    <t>Jalen</t>
  </si>
  <si>
    <t>E01338</t>
  </si>
  <si>
    <t>Carolina</t>
  </si>
  <si>
    <t>E03000</t>
  </si>
  <si>
    <t>Archer</t>
  </si>
  <si>
    <t>E01611</t>
  </si>
  <si>
    <t>Jovie</t>
  </si>
  <si>
    <t>E02684</t>
  </si>
  <si>
    <t>Kade</t>
  </si>
  <si>
    <t>E02561</t>
  </si>
  <si>
    <t>Cassidy</t>
  </si>
  <si>
    <t>E03168</t>
  </si>
  <si>
    <t>Colby</t>
  </si>
  <si>
    <t>Persephone</t>
  </si>
  <si>
    <t>E03691</t>
  </si>
  <si>
    <t>Abraham</t>
  </si>
  <si>
    <t>Noa</t>
  </si>
  <si>
    <t>Crew</t>
  </si>
  <si>
    <t>E03278</t>
  </si>
  <si>
    <t>Zaylee</t>
  </si>
  <si>
    <t>E00282</t>
  </si>
  <si>
    <t>Holden</t>
  </si>
  <si>
    <t>Mackenzie</t>
  </si>
  <si>
    <t>E00559</t>
  </si>
  <si>
    <t>Hank</t>
  </si>
  <si>
    <t>E02558</t>
  </si>
  <si>
    <t>Mara</t>
  </si>
  <si>
    <t>Nasir</t>
  </si>
  <si>
    <t>E03858</t>
  </si>
  <si>
    <t>Jennifer</t>
  </si>
  <si>
    <t>E02221</t>
  </si>
  <si>
    <t>Dexter</t>
  </si>
  <si>
    <t>Luella</t>
  </si>
  <si>
    <t>E02627</t>
  </si>
  <si>
    <t>Bjorn</t>
  </si>
  <si>
    <t>E03778</t>
  </si>
  <si>
    <t>Lena</t>
  </si>
  <si>
    <t>E00481</t>
  </si>
  <si>
    <t>Ryder</t>
  </si>
  <si>
    <t>E02833</t>
  </si>
  <si>
    <t>Lola</t>
  </si>
  <si>
    <t>E03902</t>
  </si>
  <si>
    <t>Salem</t>
  </si>
  <si>
    <t>E02310</t>
  </si>
  <si>
    <t>Mckenzie</t>
  </si>
  <si>
    <t>E02661</t>
  </si>
  <si>
    <t>Miriam</t>
  </si>
  <si>
    <t>Ishaan</t>
  </si>
  <si>
    <t>E00682</t>
  </si>
  <si>
    <t>Norah</t>
  </si>
  <si>
    <t>Donald</t>
  </si>
  <si>
    <t>E00785</t>
  </si>
  <si>
    <t>Calum</t>
  </si>
  <si>
    <t>E04598</t>
  </si>
  <si>
    <t>Liberty</t>
  </si>
  <si>
    <t>E03247</t>
  </si>
  <si>
    <t>Musa</t>
  </si>
  <si>
    <t>E02703</t>
  </si>
  <si>
    <t>Deandre</t>
  </si>
  <si>
    <t>E02191</t>
  </si>
  <si>
    <t>Jonas</t>
  </si>
  <si>
    <t>E00156</t>
  </si>
  <si>
    <t>Blaise</t>
  </si>
  <si>
    <t>Melani</t>
  </si>
  <si>
    <t>Kevin</t>
  </si>
  <si>
    <t>E00005</t>
  </si>
  <si>
    <t>Rebecca</t>
  </si>
  <si>
    <t>E04354</t>
  </si>
  <si>
    <t>Judith</t>
  </si>
  <si>
    <t>E01578</t>
  </si>
  <si>
    <t>Boston</t>
  </si>
  <si>
    <t>E03430</t>
  </si>
  <si>
    <t>Laurel</t>
  </si>
  <si>
    <t>Kyree</t>
  </si>
  <si>
    <t>E04762</t>
  </si>
  <si>
    <t>Ivanna</t>
  </si>
  <si>
    <t>E01148</t>
  </si>
  <si>
    <t>Santino</t>
  </si>
  <si>
    <t>E03094</t>
  </si>
  <si>
    <t>Kasen</t>
  </si>
  <si>
    <t>E01909</t>
  </si>
  <si>
    <t>Dani</t>
  </si>
  <si>
    <t>E04398</t>
  </si>
  <si>
    <t>Noe</t>
  </si>
  <si>
    <t>E02521</t>
  </si>
  <si>
    <t>Carmen</t>
  </si>
  <si>
    <t>year</t>
  </si>
  <si>
    <t>Age group</t>
  </si>
  <si>
    <t>Row Labels</t>
  </si>
  <si>
    <t>Grand Total</t>
  </si>
  <si>
    <t>Count of EEID</t>
  </si>
  <si>
    <t>Active VS Inactive Employees</t>
  </si>
  <si>
    <t>Sum of Annual</t>
  </si>
  <si>
    <t>Top 10 highest paid employee</t>
  </si>
  <si>
    <t>26–30</t>
  </si>
  <si>
    <t>31–35</t>
  </si>
  <si>
    <t>36–40</t>
  </si>
  <si>
    <t>41–45</t>
  </si>
  <si>
    <t>46–50</t>
  </si>
  <si>
    <t>51–60</t>
  </si>
  <si>
    <t>Column Labels</t>
  </si>
  <si>
    <t>Employee age distribution</t>
  </si>
  <si>
    <t>X</t>
  </si>
  <si>
    <t>Center</t>
  </si>
  <si>
    <t>Y</t>
  </si>
  <si>
    <t>Employee count by department</t>
  </si>
  <si>
    <t>Average of year</t>
  </si>
  <si>
    <t>No of year service analysis</t>
  </si>
  <si>
    <t>Count of Exit</t>
  </si>
  <si>
    <t>Exit count age group by gender</t>
  </si>
  <si>
    <t>Exit count department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</si>
</sst>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8" formatCode="_-[$$-409]* #,##0_ ;_-[$$-409]* \-#,##0\ ;_-[$$-409]* &quot;-&quot;??_ ;_-@_ "/>
    <numFmt numFmtId="175" formatCode="0.0"/>
  </numFmts>
  <fonts count="4" x14ac:knownFonts="1">
    <font>
      <sz val="11"/>
      <color theme="1"/>
      <name val="Aptos Narrow"/>
      <family val="2"/>
      <scheme val="minor"/>
    </font>
    <font>
      <sz val="11"/>
      <color theme="1"/>
      <name val="Aptos Narrow"/>
      <family val="2"/>
      <scheme val="minor"/>
    </font>
    <font>
      <b/>
      <sz val="11"/>
      <color rgb="FFFF0000"/>
      <name val="Aptos Narrow"/>
      <family val="2"/>
      <scheme val="minor"/>
    </font>
    <font>
      <sz val="11"/>
      <name val="Aptos Narrow"/>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Font="1"/>
    <xf numFmtId="0" fontId="2" fillId="0" borderId="0" xfId="0" applyFont="1"/>
    <xf numFmtId="168" fontId="0" fillId="0" borderId="0" xfId="0" applyNumberFormat="1"/>
    <xf numFmtId="0" fontId="3" fillId="0" borderId="1" xfId="0" applyFont="1" applyBorder="1"/>
    <xf numFmtId="0" fontId="3" fillId="2" borderId="1" xfId="0" applyFont="1" applyFill="1" applyBorder="1" applyAlignment="1">
      <alignment horizontal="left"/>
    </xf>
    <xf numFmtId="0" fontId="3" fillId="2" borderId="1" xfId="0" applyFont="1" applyFill="1" applyBorder="1"/>
    <xf numFmtId="175" fontId="0" fillId="0" borderId="0" xfId="0" applyNumberFormat="1"/>
  </cellXfs>
  <cellStyles count="2">
    <cellStyle name="Normal" xfId="0" builtinId="0"/>
    <cellStyle name="Percent" xfId="1" builtinId="5"/>
  </cellStyles>
  <dxfs count="9">
    <dxf>
      <numFmt numFmtId="175" formatCode="0.0"/>
    </dxf>
    <dxf>
      <numFmt numFmtId="175" formatCode="0.0"/>
    </dxf>
    <dxf>
      <border diagonalUp="0" diagonalDown="0">
        <left/>
        <right/>
        <top/>
        <bottom/>
        <vertical/>
        <horizontal/>
      </border>
    </dxf>
    <dxf>
      <border diagonalUp="0" diagonalDown="0">
        <left/>
        <right/>
        <top/>
        <bottom/>
        <vertical/>
        <horizontal/>
      </border>
    </dxf>
    <dxf>
      <numFmt numFmtId="175" formatCode="0.0"/>
    </dxf>
    <dxf>
      <numFmt numFmtId="0" formatCode="General"/>
    </dxf>
    <dxf>
      <numFmt numFmtId="0" formatCode="General"/>
    </dxf>
    <dxf>
      <numFmt numFmtId="19" formatCode="dd/mm/yyyy"/>
    </dxf>
    <dxf>
      <numFmt numFmtId="19" formatCode="dd/mm/yyyy"/>
    </dxf>
  </dxfs>
  <tableStyles count="2" defaultTableStyle="TableStyleMedium2" defaultPivotStyle="PivotStyleLight16">
    <tableStyle name="Slicer Style 1" pivot="0" table="0" count="1" xr9:uid="{F711696C-A892-4743-868B-432366408400}">
      <tableStyleElement type="wholeTable" dxfId="3"/>
    </tableStyle>
    <tableStyle name="Slicer Style 2" pivot="0" table="0" count="1" xr9:uid="{1D9F5FAB-C5F2-4AE2-B144-0A61B9D163A5}">
      <tableStyleElement type="wholeTable" dxfId="2"/>
    </tableStyle>
  </tableStyles>
  <colors>
    <mruColors>
      <color rgb="FFA4189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596293912880397"/>
          <c:y val="5.0925925925925923E-2"/>
          <c:w val="0.54134893138357698"/>
          <c:h val="0.77021189424492653"/>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4C5C-474F-8E39-CFD67A629065}"/>
              </c:ext>
            </c:extLst>
          </c:dPt>
          <c:val>
            <c:numRef>
              <c:f>Pivot!$B$11</c:f>
              <c:numCache>
                <c:formatCode>General</c:formatCode>
                <c:ptCount val="1"/>
                <c:pt idx="0">
                  <c:v>792</c:v>
                </c:pt>
              </c:numCache>
            </c:numRef>
          </c:val>
          <c:extLst>
            <c:ext xmlns:c16="http://schemas.microsoft.com/office/drawing/2014/chart" uri="{C3380CC4-5D6E-409C-BE32-E72D297353CC}">
              <c16:uniqueId val="{00000002-4C5C-474F-8E39-CFD67A629065}"/>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4479577068854577"/>
          <c:y val="0"/>
          <c:w val="0.70135796583743604"/>
          <c:h val="0.98726114649681529"/>
        </c:manualLayout>
      </c:layout>
      <c:doughnutChart>
        <c:varyColors val="1"/>
        <c:ser>
          <c:idx val="0"/>
          <c:order val="0"/>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90C5-46D4-AC7D-ABF9771C5C0E}"/>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90C5-46D4-AC7D-ABF9771C5C0E}"/>
              </c:ext>
            </c:extLst>
          </c:dPt>
          <c:val>
            <c:numRef>
              <c:f>Pivot!$B$9:$B$10</c:f>
              <c:numCache>
                <c:formatCode>General</c:formatCode>
                <c:ptCount val="2"/>
                <c:pt idx="0">
                  <c:v>691</c:v>
                </c:pt>
                <c:pt idx="1">
                  <c:v>101</c:v>
                </c:pt>
              </c:numCache>
            </c:numRef>
          </c:val>
          <c:extLst>
            <c:ext xmlns:c16="http://schemas.microsoft.com/office/drawing/2014/chart" uri="{C3380CC4-5D6E-409C-BE32-E72D297353CC}">
              <c16:uniqueId val="{00000004-90C5-46D4-AC7D-ABF9771C5C0E}"/>
            </c:ext>
          </c:extLst>
        </c:ser>
        <c:dLbls>
          <c:showLegendKey val="0"/>
          <c:showVal val="0"/>
          <c:showCatName val="0"/>
          <c:showSerName val="0"/>
          <c:showPercent val="0"/>
          <c:showBubbleSize val="0"/>
          <c:showLeaderLines val="1"/>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9.5236964425652326E-2"/>
          <c:y val="3.6363636363636362E-2"/>
          <c:w val="0.77777874987970241"/>
          <c:h val="0.89090909090909087"/>
        </c:manualLayout>
      </c:layout>
      <c:doughnutChart>
        <c:varyColors val="1"/>
        <c:ser>
          <c:idx val="0"/>
          <c:order val="0"/>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689A-4489-BE70-74A58760768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689A-4489-BE70-74A58760768A}"/>
              </c:ext>
            </c:extLst>
          </c:dPt>
          <c:val>
            <c:numRef>
              <c:f>Pivot!$B$9:$B$10</c:f>
              <c:numCache>
                <c:formatCode>General</c:formatCode>
                <c:ptCount val="2"/>
                <c:pt idx="0">
                  <c:v>691</c:v>
                </c:pt>
                <c:pt idx="1">
                  <c:v>101</c:v>
                </c:pt>
              </c:numCache>
            </c:numRef>
          </c:val>
          <c:extLst>
            <c:ext xmlns:c16="http://schemas.microsoft.com/office/drawing/2014/chart" uri="{C3380CC4-5D6E-409C-BE32-E72D297353CC}">
              <c16:uniqueId val="{00000004-689A-4489-BE70-74A58760768A}"/>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DASHBOARD.xlsx]Pivot!PivotTable2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41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32300706937182"/>
          <c:y val="5.057471264367816E-2"/>
          <c:w val="0.64858210241967928"/>
          <c:h val="0.90344827586206899"/>
        </c:manualLayout>
      </c:layout>
      <c:barChart>
        <c:barDir val="bar"/>
        <c:grouping val="clustered"/>
        <c:varyColors val="0"/>
        <c:ser>
          <c:idx val="0"/>
          <c:order val="0"/>
          <c:tx>
            <c:strRef>
              <c:f>Pivot!$F$4</c:f>
              <c:strCache>
                <c:ptCount val="1"/>
                <c:pt idx="0">
                  <c:v>Total</c:v>
                </c:pt>
              </c:strCache>
            </c:strRef>
          </c:tx>
          <c:spPr>
            <a:solidFill>
              <a:srgbClr val="A418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Pivot!$E$5:$E$15</c:f>
              <c:strCache>
                <c:ptCount val="10"/>
                <c:pt idx="0">
                  <c:v>Amos</c:v>
                </c:pt>
                <c:pt idx="1">
                  <c:v>Calvin</c:v>
                </c:pt>
                <c:pt idx="2">
                  <c:v>Enzo</c:v>
                </c:pt>
                <c:pt idx="3">
                  <c:v>Eston</c:v>
                </c:pt>
                <c:pt idx="4">
                  <c:v>Eve</c:v>
                </c:pt>
                <c:pt idx="5">
                  <c:v>lakai</c:v>
                </c:pt>
                <c:pt idx="6">
                  <c:v>Layne</c:v>
                </c:pt>
                <c:pt idx="7">
                  <c:v>lilah</c:v>
                </c:pt>
                <c:pt idx="8">
                  <c:v>Rebekah</c:v>
                </c:pt>
                <c:pt idx="9">
                  <c:v>Yareli</c:v>
                </c:pt>
              </c:strCache>
            </c:strRef>
          </c:cat>
          <c:val>
            <c:numRef>
              <c:f>Pivot!$F$5:$F$15</c:f>
              <c:numCache>
                <c:formatCode>_-[$$-409]* #,##0_ ;_-[$$-409]* \-#,##0\ ;_-[$$-409]* "-"??_ ;_-@_ </c:formatCode>
                <c:ptCount val="10"/>
                <c:pt idx="0">
                  <c:v>1398000</c:v>
                </c:pt>
                <c:pt idx="1">
                  <c:v>1390000</c:v>
                </c:pt>
                <c:pt idx="2">
                  <c:v>1406000</c:v>
                </c:pt>
                <c:pt idx="3">
                  <c:v>1392000</c:v>
                </c:pt>
                <c:pt idx="4">
                  <c:v>1404000</c:v>
                </c:pt>
                <c:pt idx="5">
                  <c:v>1408000</c:v>
                </c:pt>
                <c:pt idx="6">
                  <c:v>1402000</c:v>
                </c:pt>
                <c:pt idx="7">
                  <c:v>1400000</c:v>
                </c:pt>
                <c:pt idx="8">
                  <c:v>1388000</c:v>
                </c:pt>
                <c:pt idx="9">
                  <c:v>1396000</c:v>
                </c:pt>
              </c:numCache>
            </c:numRef>
          </c:val>
          <c:extLst>
            <c:ext xmlns:c16="http://schemas.microsoft.com/office/drawing/2014/chart" uri="{C3380CC4-5D6E-409C-BE32-E72D297353CC}">
              <c16:uniqueId val="{00000000-3F03-4BF0-8C63-55A8DE784CC2}"/>
            </c:ext>
          </c:extLst>
        </c:ser>
        <c:dLbls>
          <c:showLegendKey val="0"/>
          <c:showVal val="0"/>
          <c:showCatName val="0"/>
          <c:showSerName val="0"/>
          <c:showPercent val="0"/>
          <c:showBubbleSize val="0"/>
        </c:dLbls>
        <c:gapWidth val="68"/>
        <c:axId val="492411568"/>
        <c:axId val="492424048"/>
      </c:barChart>
      <c:catAx>
        <c:axId val="4924115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24048"/>
        <c:crosses val="autoZero"/>
        <c:auto val="1"/>
        <c:lblAlgn val="ctr"/>
        <c:lblOffset val="100"/>
        <c:noMultiLvlLbl val="0"/>
      </c:catAx>
      <c:valAx>
        <c:axId val="492424048"/>
        <c:scaling>
          <c:orientation val="minMax"/>
        </c:scaling>
        <c:delete val="1"/>
        <c:axPos val="t"/>
        <c:numFmt formatCode="_-[$$-409]* #,##0_ ;_-[$$-409]* \-#,##0\ ;_-[$$-409]* &quot;-&quot;??_ ;_-@_ " sourceLinked="1"/>
        <c:majorTickMark val="out"/>
        <c:minorTickMark val="none"/>
        <c:tickLblPos val="nextTo"/>
        <c:crossAx val="49241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014419687005506E-2"/>
          <c:y val="5.6969246768682216E-2"/>
          <c:w val="0.98007917615515638"/>
          <c:h val="0.90529490417471403"/>
        </c:manualLayout>
      </c:layout>
      <c:barChart>
        <c:barDir val="bar"/>
        <c:grouping val="stacked"/>
        <c:varyColors val="0"/>
        <c:ser>
          <c:idx val="0"/>
          <c:order val="0"/>
          <c:tx>
            <c:strRef>
              <c:f>Pivot!$I$13</c:f>
              <c:strCache>
                <c:ptCount val="1"/>
                <c:pt idx="0">
                  <c:v>X</c:v>
                </c:pt>
              </c:strCache>
            </c:strRef>
          </c:tx>
          <c:spPr>
            <a:noFill/>
            <a:ln>
              <a:noFill/>
            </a:ln>
            <a:effectLst/>
          </c:spPr>
          <c:invertIfNegative val="0"/>
          <c:dLbls>
            <c:delete val="1"/>
          </c:dLbls>
          <c:cat>
            <c:strRef>
              <c:f>Pivot!$H$14:$H$19</c:f>
              <c:strCache>
                <c:ptCount val="6"/>
                <c:pt idx="0">
                  <c:v>26–30</c:v>
                </c:pt>
                <c:pt idx="1">
                  <c:v>31–35</c:v>
                </c:pt>
                <c:pt idx="2">
                  <c:v>36–40</c:v>
                </c:pt>
                <c:pt idx="3">
                  <c:v>41–45</c:v>
                </c:pt>
                <c:pt idx="4">
                  <c:v>46–50</c:v>
                </c:pt>
                <c:pt idx="5">
                  <c:v>51–60</c:v>
                </c:pt>
              </c:strCache>
            </c:strRef>
          </c:cat>
          <c:val>
            <c:numRef>
              <c:f>Pivot!$I$14:$I$19</c:f>
              <c:numCache>
                <c:formatCode>General</c:formatCode>
                <c:ptCount val="6"/>
                <c:pt idx="0">
                  <c:v>52</c:v>
                </c:pt>
                <c:pt idx="1">
                  <c:v>25</c:v>
                </c:pt>
                <c:pt idx="2">
                  <c:v>3</c:v>
                </c:pt>
                <c:pt idx="3">
                  <c:v>10</c:v>
                </c:pt>
                <c:pt idx="4">
                  <c:v>34</c:v>
                </c:pt>
                <c:pt idx="5">
                  <c:v>55</c:v>
                </c:pt>
              </c:numCache>
            </c:numRef>
          </c:val>
          <c:extLst>
            <c:ext xmlns:c16="http://schemas.microsoft.com/office/drawing/2014/chart" uri="{C3380CC4-5D6E-409C-BE32-E72D297353CC}">
              <c16:uniqueId val="{00000000-B824-4D1C-A1BC-D8D691FDE35D}"/>
            </c:ext>
          </c:extLst>
        </c:ser>
        <c:ser>
          <c:idx val="1"/>
          <c:order val="1"/>
          <c:tx>
            <c:strRef>
              <c:f>Pivot!$J$13</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Pivot!$H$14:$H$19</c:f>
              <c:strCache>
                <c:ptCount val="6"/>
                <c:pt idx="0">
                  <c:v>26–30</c:v>
                </c:pt>
                <c:pt idx="1">
                  <c:v>31–35</c:v>
                </c:pt>
                <c:pt idx="2">
                  <c:v>36–40</c:v>
                </c:pt>
                <c:pt idx="3">
                  <c:v>41–45</c:v>
                </c:pt>
                <c:pt idx="4">
                  <c:v>46–50</c:v>
                </c:pt>
                <c:pt idx="5">
                  <c:v>51–60</c:v>
                </c:pt>
              </c:strCache>
            </c:strRef>
          </c:cat>
          <c:val>
            <c:numRef>
              <c:f>Pivot!$J$14:$J$19</c:f>
              <c:numCache>
                <c:formatCode>General</c:formatCode>
                <c:ptCount val="6"/>
                <c:pt idx="0">
                  <c:v>35</c:v>
                </c:pt>
                <c:pt idx="1">
                  <c:v>62</c:v>
                </c:pt>
                <c:pt idx="2">
                  <c:v>84</c:v>
                </c:pt>
                <c:pt idx="3">
                  <c:v>77</c:v>
                </c:pt>
                <c:pt idx="4">
                  <c:v>53</c:v>
                </c:pt>
                <c:pt idx="5">
                  <c:v>32</c:v>
                </c:pt>
              </c:numCache>
            </c:numRef>
          </c:val>
          <c:extLst>
            <c:ext xmlns:c16="http://schemas.microsoft.com/office/drawing/2014/chart" uri="{C3380CC4-5D6E-409C-BE32-E72D297353CC}">
              <c16:uniqueId val="{00000001-B824-4D1C-A1BC-D8D691FDE35D}"/>
            </c:ext>
          </c:extLst>
        </c:ser>
        <c:ser>
          <c:idx val="2"/>
          <c:order val="2"/>
          <c:tx>
            <c:strRef>
              <c:f>Pivot!$K$13</c:f>
              <c:strCache>
                <c:ptCount val="1"/>
                <c:pt idx="0">
                  <c:v>Center</c:v>
                </c:pt>
              </c:strCache>
            </c:strRef>
          </c:tx>
          <c:spPr>
            <a:noFill/>
            <a:ln>
              <a:noFill/>
            </a:ln>
            <a:effectLst/>
          </c:spPr>
          <c:invertIfNegative val="0"/>
          <c:dLbls>
            <c:dLbl>
              <c:idx val="5"/>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15:layout>
                    <c:manualLayout>
                      <c:w val="0.16010461324107531"/>
                      <c:h val="0.11898142920814143"/>
                    </c:manualLayout>
                  </c15:layout>
                </c:ext>
                <c:ext xmlns:c16="http://schemas.microsoft.com/office/drawing/2014/chart" uri="{C3380CC4-5D6E-409C-BE32-E72D297353CC}">
                  <c16:uniqueId val="{00000005-B824-4D1C-A1BC-D8D691FDE3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Pivot!$H$14:$H$19</c:f>
              <c:strCache>
                <c:ptCount val="6"/>
                <c:pt idx="0">
                  <c:v>26–30</c:v>
                </c:pt>
                <c:pt idx="1">
                  <c:v>31–35</c:v>
                </c:pt>
                <c:pt idx="2">
                  <c:v>36–40</c:v>
                </c:pt>
                <c:pt idx="3">
                  <c:v>41–45</c:v>
                </c:pt>
                <c:pt idx="4">
                  <c:v>46–50</c:v>
                </c:pt>
                <c:pt idx="5">
                  <c:v>51–60</c:v>
                </c:pt>
              </c:strCache>
            </c:strRef>
          </c:cat>
          <c:val>
            <c:numRef>
              <c:f>Pivot!$K$14:$K$19</c:f>
              <c:numCache>
                <c:formatCode>General</c:formatCode>
                <c:ptCount val="6"/>
                <c:pt idx="0">
                  <c:v>30</c:v>
                </c:pt>
                <c:pt idx="1">
                  <c:v>30</c:v>
                </c:pt>
                <c:pt idx="2">
                  <c:v>30</c:v>
                </c:pt>
                <c:pt idx="3">
                  <c:v>30</c:v>
                </c:pt>
                <c:pt idx="4">
                  <c:v>30</c:v>
                </c:pt>
                <c:pt idx="5">
                  <c:v>30</c:v>
                </c:pt>
              </c:numCache>
            </c:numRef>
          </c:val>
          <c:extLst>
            <c:ext xmlns:c16="http://schemas.microsoft.com/office/drawing/2014/chart" uri="{C3380CC4-5D6E-409C-BE32-E72D297353CC}">
              <c16:uniqueId val="{00000002-B824-4D1C-A1BC-D8D691FDE35D}"/>
            </c:ext>
          </c:extLst>
        </c:ser>
        <c:ser>
          <c:idx val="3"/>
          <c:order val="3"/>
          <c:tx>
            <c:strRef>
              <c:f>Pivot!$L$13</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Pivot!$H$14:$H$19</c:f>
              <c:strCache>
                <c:ptCount val="6"/>
                <c:pt idx="0">
                  <c:v>26–30</c:v>
                </c:pt>
                <c:pt idx="1">
                  <c:v>31–35</c:v>
                </c:pt>
                <c:pt idx="2">
                  <c:v>36–40</c:v>
                </c:pt>
                <c:pt idx="3">
                  <c:v>41–45</c:v>
                </c:pt>
                <c:pt idx="4">
                  <c:v>46–50</c:v>
                </c:pt>
                <c:pt idx="5">
                  <c:v>51–60</c:v>
                </c:pt>
              </c:strCache>
            </c:strRef>
          </c:cat>
          <c:val>
            <c:numRef>
              <c:f>Pivot!$L$14:$L$19</c:f>
              <c:numCache>
                <c:formatCode>General</c:formatCode>
                <c:ptCount val="6"/>
                <c:pt idx="0">
                  <c:v>39</c:v>
                </c:pt>
                <c:pt idx="1">
                  <c:v>74</c:v>
                </c:pt>
                <c:pt idx="2">
                  <c:v>87</c:v>
                </c:pt>
                <c:pt idx="3">
                  <c:v>66</c:v>
                </c:pt>
                <c:pt idx="4">
                  <c:v>43</c:v>
                </c:pt>
                <c:pt idx="5">
                  <c:v>39</c:v>
                </c:pt>
              </c:numCache>
            </c:numRef>
          </c:val>
          <c:extLst>
            <c:ext xmlns:c16="http://schemas.microsoft.com/office/drawing/2014/chart" uri="{C3380CC4-5D6E-409C-BE32-E72D297353CC}">
              <c16:uniqueId val="{00000003-B824-4D1C-A1BC-D8D691FDE35D}"/>
            </c:ext>
          </c:extLst>
        </c:ser>
        <c:ser>
          <c:idx val="4"/>
          <c:order val="4"/>
          <c:tx>
            <c:strRef>
              <c:f>Pivot!$M$13</c:f>
              <c:strCache>
                <c:ptCount val="1"/>
                <c:pt idx="0">
                  <c:v>Y</c:v>
                </c:pt>
              </c:strCache>
            </c:strRef>
          </c:tx>
          <c:spPr>
            <a:noFill/>
            <a:ln>
              <a:noFill/>
            </a:ln>
            <a:effectLst/>
          </c:spPr>
          <c:invertIfNegative val="0"/>
          <c:dLbls>
            <c:delete val="1"/>
          </c:dLbls>
          <c:cat>
            <c:strRef>
              <c:f>Pivot!$H$14:$H$19</c:f>
              <c:strCache>
                <c:ptCount val="6"/>
                <c:pt idx="0">
                  <c:v>26–30</c:v>
                </c:pt>
                <c:pt idx="1">
                  <c:v>31–35</c:v>
                </c:pt>
                <c:pt idx="2">
                  <c:v>36–40</c:v>
                </c:pt>
                <c:pt idx="3">
                  <c:v>41–45</c:v>
                </c:pt>
                <c:pt idx="4">
                  <c:v>46–50</c:v>
                </c:pt>
                <c:pt idx="5">
                  <c:v>51–60</c:v>
                </c:pt>
              </c:strCache>
            </c:strRef>
          </c:cat>
          <c:val>
            <c:numRef>
              <c:f>Pivot!$M$14:$M$19</c:f>
              <c:numCache>
                <c:formatCode>General</c:formatCode>
                <c:ptCount val="6"/>
                <c:pt idx="0">
                  <c:v>48</c:v>
                </c:pt>
                <c:pt idx="1">
                  <c:v>13</c:v>
                </c:pt>
                <c:pt idx="2">
                  <c:v>0</c:v>
                </c:pt>
                <c:pt idx="3">
                  <c:v>21</c:v>
                </c:pt>
                <c:pt idx="4">
                  <c:v>44</c:v>
                </c:pt>
                <c:pt idx="5">
                  <c:v>48</c:v>
                </c:pt>
              </c:numCache>
            </c:numRef>
          </c:val>
          <c:extLst>
            <c:ext xmlns:c16="http://schemas.microsoft.com/office/drawing/2014/chart" uri="{C3380CC4-5D6E-409C-BE32-E72D297353CC}">
              <c16:uniqueId val="{00000004-B824-4D1C-A1BC-D8D691FDE35D}"/>
            </c:ext>
          </c:extLst>
        </c:ser>
        <c:dLbls>
          <c:dLblPos val="ctr"/>
          <c:showLegendKey val="0"/>
          <c:showVal val="1"/>
          <c:showCatName val="0"/>
          <c:showSerName val="0"/>
          <c:showPercent val="0"/>
          <c:showBubbleSize val="0"/>
        </c:dLbls>
        <c:gapWidth val="12"/>
        <c:overlap val="100"/>
        <c:axId val="1536576432"/>
        <c:axId val="1536579792"/>
      </c:barChart>
      <c:catAx>
        <c:axId val="1536576432"/>
        <c:scaling>
          <c:orientation val="minMax"/>
        </c:scaling>
        <c:delete val="1"/>
        <c:axPos val="l"/>
        <c:numFmt formatCode="General" sourceLinked="1"/>
        <c:majorTickMark val="out"/>
        <c:minorTickMark val="none"/>
        <c:tickLblPos val="nextTo"/>
        <c:crossAx val="1536579792"/>
        <c:crosses val="autoZero"/>
        <c:auto val="1"/>
        <c:lblAlgn val="ctr"/>
        <c:lblOffset val="100"/>
        <c:noMultiLvlLbl val="0"/>
      </c:catAx>
      <c:valAx>
        <c:axId val="1536579792"/>
        <c:scaling>
          <c:orientation val="minMax"/>
        </c:scaling>
        <c:delete val="1"/>
        <c:axPos val="b"/>
        <c:numFmt formatCode="General" sourceLinked="1"/>
        <c:majorTickMark val="out"/>
        <c:minorTickMark val="none"/>
        <c:tickLblPos val="nextTo"/>
        <c:crossAx val="153657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DASHBOARD.xlsx]Pivot!PivotTable4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B1-4C9F-89E1-DA7EC3BADF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B1-4C9F-89E1-DA7EC3BADF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B1-4C9F-89E1-DA7EC3BADF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B1-4C9F-89E1-DA7EC3BADF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6B1-4C9F-89E1-DA7EC3BADF0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6B1-4C9F-89E1-DA7EC3BADF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Pivot!$N$5:$N$11</c:f>
              <c:strCache>
                <c:ptCount val="6"/>
                <c:pt idx="0">
                  <c:v>Accounting</c:v>
                </c:pt>
                <c:pt idx="1">
                  <c:v>Engineering</c:v>
                </c:pt>
                <c:pt idx="2">
                  <c:v>Finance</c:v>
                </c:pt>
                <c:pt idx="3">
                  <c:v>IT</c:v>
                </c:pt>
                <c:pt idx="4">
                  <c:v>Marketing</c:v>
                </c:pt>
                <c:pt idx="5">
                  <c:v>Sales</c:v>
                </c:pt>
              </c:strCache>
            </c:strRef>
          </c:cat>
          <c:val>
            <c:numRef>
              <c:f>Pivot!$O$5:$O$11</c:f>
              <c:numCache>
                <c:formatCode>General</c:formatCode>
                <c:ptCount val="6"/>
                <c:pt idx="0">
                  <c:v>45</c:v>
                </c:pt>
                <c:pt idx="1">
                  <c:v>389</c:v>
                </c:pt>
                <c:pt idx="2">
                  <c:v>45</c:v>
                </c:pt>
                <c:pt idx="3">
                  <c:v>106</c:v>
                </c:pt>
                <c:pt idx="4">
                  <c:v>61</c:v>
                </c:pt>
                <c:pt idx="5">
                  <c:v>45</c:v>
                </c:pt>
              </c:numCache>
            </c:numRef>
          </c:val>
          <c:extLst>
            <c:ext xmlns:c16="http://schemas.microsoft.com/office/drawing/2014/chart" uri="{C3380CC4-5D6E-409C-BE32-E72D297353CC}">
              <c16:uniqueId val="{0000000C-A6B1-4C9F-89E1-DA7EC3BADF0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7941847456453766"/>
          <c:y val="5.4213072763494928E-2"/>
          <c:w val="0.38031304777944713"/>
          <c:h val="0.90763811150112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DASHBOARD.xlsx]Pivot!PivotTable5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pivotFmt>
    </c:pivotFmts>
    <c:plotArea>
      <c:layout>
        <c:manualLayout>
          <c:layoutTarget val="inner"/>
          <c:xMode val="edge"/>
          <c:yMode val="edge"/>
          <c:x val="8.4153063184175161E-2"/>
          <c:y val="6.0773587512087307E-2"/>
          <c:w val="0.74669572249414773"/>
          <c:h val="0.90055248618784534"/>
        </c:manualLayout>
      </c:layout>
      <c:barChart>
        <c:barDir val="bar"/>
        <c:grouping val="stacked"/>
        <c:varyColors val="0"/>
        <c:ser>
          <c:idx val="0"/>
          <c:order val="0"/>
          <c:tx>
            <c:strRef>
              <c:f>Pivot!$R$4:$R$5</c:f>
              <c:strCache>
                <c:ptCount val="1"/>
                <c:pt idx="0">
                  <c:v>Female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Pivot!$Q$6:$Q$15</c:f>
              <c:strCache>
                <c:ptCount val="10"/>
                <c:pt idx="0">
                  <c:v> Dev Eng</c:v>
                </c:pt>
                <c:pt idx="1">
                  <c:v>Auto Eng</c:v>
                </c:pt>
                <c:pt idx="2">
                  <c:v>Field Eng</c:v>
                </c:pt>
                <c:pt idx="3">
                  <c:v>IT Coord</c:v>
                </c:pt>
                <c:pt idx="4">
                  <c:v>Net Admin</c:v>
                </c:pt>
                <c:pt idx="5">
                  <c:v>Ops Eng</c:v>
                </c:pt>
                <c:pt idx="6">
                  <c:v>Quality Eng</c:v>
                </c:pt>
                <c:pt idx="7">
                  <c:v>Sr. Acc Rep</c:v>
                </c:pt>
                <c:pt idx="8">
                  <c:v>Sr. Analyst</c:v>
                </c:pt>
                <c:pt idx="9">
                  <c:v>Sr. Manger</c:v>
                </c:pt>
              </c:strCache>
            </c:strRef>
          </c:cat>
          <c:val>
            <c:numRef>
              <c:f>Pivot!$R$6:$R$15</c:f>
              <c:numCache>
                <c:formatCode>0.0</c:formatCode>
                <c:ptCount val="10"/>
                <c:pt idx="0">
                  <c:v>3.1578947368421053</c:v>
                </c:pt>
                <c:pt idx="1">
                  <c:v>3.9047619047619047</c:v>
                </c:pt>
                <c:pt idx="2">
                  <c:v>2.641025641025641</c:v>
                </c:pt>
                <c:pt idx="3">
                  <c:v>1.4333333333333333</c:v>
                </c:pt>
                <c:pt idx="4">
                  <c:v>2.1428571428571428</c:v>
                </c:pt>
                <c:pt idx="5">
                  <c:v>3.4722222222222223</c:v>
                </c:pt>
                <c:pt idx="6">
                  <c:v>3.5319148936170213</c:v>
                </c:pt>
                <c:pt idx="7">
                  <c:v>2.9117647058823528</c:v>
                </c:pt>
                <c:pt idx="8">
                  <c:v>1.9</c:v>
                </c:pt>
                <c:pt idx="9">
                  <c:v>2.5789473684210527</c:v>
                </c:pt>
              </c:numCache>
            </c:numRef>
          </c:val>
          <c:extLst>
            <c:ext xmlns:c16="http://schemas.microsoft.com/office/drawing/2014/chart" uri="{C3380CC4-5D6E-409C-BE32-E72D297353CC}">
              <c16:uniqueId val="{00000000-9297-4188-8A23-C27D174E583B}"/>
            </c:ext>
          </c:extLst>
        </c:ser>
        <c:ser>
          <c:idx val="1"/>
          <c:order val="1"/>
          <c:tx>
            <c:strRef>
              <c:f>Pivot!$S$4:$S$5</c:f>
              <c:strCache>
                <c:ptCount val="1"/>
                <c:pt idx="0">
                  <c:v>Male</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Pivot!$Q$6:$Q$15</c:f>
              <c:strCache>
                <c:ptCount val="10"/>
                <c:pt idx="0">
                  <c:v> Dev Eng</c:v>
                </c:pt>
                <c:pt idx="1">
                  <c:v>Auto Eng</c:v>
                </c:pt>
                <c:pt idx="2">
                  <c:v>Field Eng</c:v>
                </c:pt>
                <c:pt idx="3">
                  <c:v>IT Coord</c:v>
                </c:pt>
                <c:pt idx="4">
                  <c:v>Net Admin</c:v>
                </c:pt>
                <c:pt idx="5">
                  <c:v>Ops Eng</c:v>
                </c:pt>
                <c:pt idx="6">
                  <c:v>Quality Eng</c:v>
                </c:pt>
                <c:pt idx="7">
                  <c:v>Sr. Acc Rep</c:v>
                </c:pt>
                <c:pt idx="8">
                  <c:v>Sr. Analyst</c:v>
                </c:pt>
                <c:pt idx="9">
                  <c:v>Sr. Manger</c:v>
                </c:pt>
              </c:strCache>
            </c:strRef>
          </c:cat>
          <c:val>
            <c:numRef>
              <c:f>Pivot!$S$6:$S$15</c:f>
              <c:numCache>
                <c:formatCode>0.0</c:formatCode>
                <c:ptCount val="10"/>
                <c:pt idx="0">
                  <c:v>2.6666666666666665</c:v>
                </c:pt>
                <c:pt idx="1">
                  <c:v>4</c:v>
                </c:pt>
                <c:pt idx="2">
                  <c:v>2.7941176470588234</c:v>
                </c:pt>
                <c:pt idx="3">
                  <c:v>1.5555555555555556</c:v>
                </c:pt>
                <c:pt idx="4">
                  <c:v>1.8888888888888888</c:v>
                </c:pt>
                <c:pt idx="5">
                  <c:v>2.84375</c:v>
                </c:pt>
                <c:pt idx="6">
                  <c:v>3.7692307692307692</c:v>
                </c:pt>
                <c:pt idx="7">
                  <c:v>2.8125</c:v>
                </c:pt>
                <c:pt idx="8">
                  <c:v>1.9069767441860466</c:v>
                </c:pt>
                <c:pt idx="9">
                  <c:v>2.1860465116279069</c:v>
                </c:pt>
              </c:numCache>
            </c:numRef>
          </c:val>
          <c:extLst>
            <c:ext xmlns:c16="http://schemas.microsoft.com/office/drawing/2014/chart" uri="{C3380CC4-5D6E-409C-BE32-E72D297353CC}">
              <c16:uniqueId val="{00000001-9297-4188-8A23-C27D174E583B}"/>
            </c:ext>
          </c:extLst>
        </c:ser>
        <c:dLbls>
          <c:dLblPos val="ctr"/>
          <c:showLegendKey val="0"/>
          <c:showVal val="1"/>
          <c:showCatName val="0"/>
          <c:showSerName val="0"/>
          <c:showPercent val="0"/>
          <c:showBubbleSize val="0"/>
        </c:dLbls>
        <c:gapWidth val="36"/>
        <c:overlap val="100"/>
        <c:axId val="492472528"/>
        <c:axId val="492478288"/>
      </c:barChart>
      <c:catAx>
        <c:axId val="492472528"/>
        <c:scaling>
          <c:orientation val="minMax"/>
        </c:scaling>
        <c:delete val="1"/>
        <c:axPos val="l"/>
        <c:numFmt formatCode="General" sourceLinked="1"/>
        <c:majorTickMark val="none"/>
        <c:minorTickMark val="none"/>
        <c:tickLblPos val="nextTo"/>
        <c:crossAx val="492478288"/>
        <c:crosses val="autoZero"/>
        <c:auto val="1"/>
        <c:lblAlgn val="ctr"/>
        <c:lblOffset val="100"/>
        <c:noMultiLvlLbl val="0"/>
      </c:catAx>
      <c:valAx>
        <c:axId val="492478288"/>
        <c:scaling>
          <c:orientation val="minMax"/>
        </c:scaling>
        <c:delete val="1"/>
        <c:axPos val="b"/>
        <c:numFmt formatCode="0.0" sourceLinked="1"/>
        <c:majorTickMark val="none"/>
        <c:minorTickMark val="none"/>
        <c:tickLblPos val="nextTo"/>
        <c:crossAx val="492472528"/>
        <c:crosses val="autoZero"/>
        <c:crossBetween val="between"/>
      </c:valAx>
      <c:spPr>
        <a:noFill/>
        <a:ln>
          <a:noFill/>
        </a:ln>
        <a:effectLst/>
      </c:spPr>
    </c:plotArea>
    <c:legend>
      <c:legendPos val="r"/>
      <c:layout>
        <c:manualLayout>
          <c:xMode val="edge"/>
          <c:yMode val="edge"/>
          <c:x val="0.65502064528519299"/>
          <c:y val="7.9823732559745827E-2"/>
          <c:w val="0.3144915498367582"/>
          <c:h val="0.222808675231385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DASHBOARD.xlsx]Pivot!PivotTable6</c:name>
    <c:fmtId val="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716535433070862E-2"/>
          <c:y val="0.16888888888888889"/>
          <c:w val="0.81397700787401572"/>
          <c:h val="0.67005984251968509"/>
        </c:manualLayout>
      </c:layout>
      <c:barChart>
        <c:barDir val="col"/>
        <c:grouping val="clustered"/>
        <c:varyColors val="0"/>
        <c:ser>
          <c:idx val="0"/>
          <c:order val="0"/>
          <c:tx>
            <c:strRef>
              <c:f>Pivot!$V$3:$V$4</c:f>
              <c:strCache>
                <c:ptCount val="1"/>
                <c:pt idx="0">
                  <c:v>Female</c:v>
                </c:pt>
              </c:strCache>
            </c:strRef>
          </c:tx>
          <c:spPr>
            <a:solidFill>
              <a:schemeClr val="accent6"/>
            </a:solidFill>
            <a:ln>
              <a:noFill/>
            </a:ln>
            <a:effectLst/>
          </c:spPr>
          <c:invertIfNegative val="0"/>
          <c:cat>
            <c:strRef>
              <c:f>Pivot!$U$5:$U$10</c:f>
              <c:strCache>
                <c:ptCount val="6"/>
                <c:pt idx="0">
                  <c:v>26–30</c:v>
                </c:pt>
                <c:pt idx="1">
                  <c:v>31–35</c:v>
                </c:pt>
                <c:pt idx="2">
                  <c:v>36–40</c:v>
                </c:pt>
                <c:pt idx="3">
                  <c:v>41–45</c:v>
                </c:pt>
                <c:pt idx="4">
                  <c:v>46–50</c:v>
                </c:pt>
                <c:pt idx="5">
                  <c:v>51–60</c:v>
                </c:pt>
              </c:strCache>
            </c:strRef>
          </c:cat>
          <c:val>
            <c:numRef>
              <c:f>Pivot!$V$5:$V$10</c:f>
              <c:numCache>
                <c:formatCode>General</c:formatCode>
                <c:ptCount val="6"/>
                <c:pt idx="0">
                  <c:v>15</c:v>
                </c:pt>
                <c:pt idx="1">
                  <c:v>5</c:v>
                </c:pt>
                <c:pt idx="2">
                  <c:v>10</c:v>
                </c:pt>
                <c:pt idx="3">
                  <c:v>6</c:v>
                </c:pt>
                <c:pt idx="4">
                  <c:v>5</c:v>
                </c:pt>
                <c:pt idx="5">
                  <c:v>5</c:v>
                </c:pt>
              </c:numCache>
            </c:numRef>
          </c:val>
          <c:extLst>
            <c:ext xmlns:c16="http://schemas.microsoft.com/office/drawing/2014/chart" uri="{C3380CC4-5D6E-409C-BE32-E72D297353CC}">
              <c16:uniqueId val="{00000000-12AC-4497-96B7-B7E4AE53E702}"/>
            </c:ext>
          </c:extLst>
        </c:ser>
        <c:ser>
          <c:idx val="1"/>
          <c:order val="1"/>
          <c:tx>
            <c:strRef>
              <c:f>Pivot!$W$3:$W$4</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Pivot!$U$5:$U$10</c:f>
              <c:strCache>
                <c:ptCount val="6"/>
                <c:pt idx="0">
                  <c:v>26–30</c:v>
                </c:pt>
                <c:pt idx="1">
                  <c:v>31–35</c:v>
                </c:pt>
                <c:pt idx="2">
                  <c:v>36–40</c:v>
                </c:pt>
                <c:pt idx="3">
                  <c:v>41–45</c:v>
                </c:pt>
                <c:pt idx="4">
                  <c:v>46–50</c:v>
                </c:pt>
                <c:pt idx="5">
                  <c:v>51–60</c:v>
                </c:pt>
              </c:strCache>
            </c:strRef>
          </c:cat>
          <c:val>
            <c:numRef>
              <c:f>Pivot!$W$5:$W$10</c:f>
              <c:numCache>
                <c:formatCode>General</c:formatCode>
                <c:ptCount val="6"/>
                <c:pt idx="0">
                  <c:v>15</c:v>
                </c:pt>
                <c:pt idx="1">
                  <c:v>4</c:v>
                </c:pt>
                <c:pt idx="2">
                  <c:v>14</c:v>
                </c:pt>
                <c:pt idx="3">
                  <c:v>9</c:v>
                </c:pt>
                <c:pt idx="4">
                  <c:v>5</c:v>
                </c:pt>
                <c:pt idx="5">
                  <c:v>8</c:v>
                </c:pt>
              </c:numCache>
            </c:numRef>
          </c:val>
          <c:extLst>
            <c:ext xmlns:c16="http://schemas.microsoft.com/office/drawing/2014/chart" uri="{C3380CC4-5D6E-409C-BE32-E72D297353CC}">
              <c16:uniqueId val="{00000001-12AC-4497-96B7-B7E4AE53E702}"/>
            </c:ext>
          </c:extLst>
        </c:ser>
        <c:dLbls>
          <c:showLegendKey val="0"/>
          <c:showVal val="0"/>
          <c:showCatName val="0"/>
          <c:showSerName val="0"/>
          <c:showPercent val="0"/>
          <c:showBubbleSize val="0"/>
        </c:dLbls>
        <c:gapWidth val="75"/>
        <c:overlap val="-27"/>
        <c:axId val="492419728"/>
        <c:axId val="492420208"/>
      </c:barChart>
      <c:catAx>
        <c:axId val="49241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20208"/>
        <c:crosses val="autoZero"/>
        <c:auto val="1"/>
        <c:lblAlgn val="ctr"/>
        <c:lblOffset val="100"/>
        <c:noMultiLvlLbl val="0"/>
      </c:catAx>
      <c:valAx>
        <c:axId val="492420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19728"/>
        <c:crosses val="autoZero"/>
        <c:crossBetween val="between"/>
      </c:valAx>
      <c:spPr>
        <a:noFill/>
        <a:ln>
          <a:noFill/>
        </a:ln>
        <a:effectLst/>
      </c:spPr>
    </c:plotArea>
    <c:legend>
      <c:legendPos val="r"/>
      <c:layout>
        <c:manualLayout>
          <c:xMode val="edge"/>
          <c:yMode val="edge"/>
          <c:x val="0.62969354330708671"/>
          <c:y val="2.9998950131233579E-2"/>
          <c:w val="0.34230645669291337"/>
          <c:h val="0.22000209973753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DASHBOARD.xlsx]Pivot!PivotTable7</c:name>
    <c:fmtId val="7"/>
  </c:pivotSource>
  <c:chart>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
        <c:idx val="2"/>
        <c:spPr>
          <a:solidFill>
            <a:schemeClr val="accent2"/>
          </a:solidFill>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5.8680730946367556E-3"/>
              <c:y val="-0.15571097730430755"/>
            </c:manualLayout>
          </c:layout>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5.104739266082306E-2"/>
              <c:y val="-4.7867840049405586E-2"/>
            </c:manualLayout>
          </c:layout>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360392215124053E-2"/>
              <c:y val="9.9190983480006129E-2"/>
            </c:manualLayout>
          </c:layout>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4.7377507056900907E-2"/>
              <c:y val="-8.6521537748957857E-3"/>
            </c:manualLayout>
          </c:layout>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0292675679690982E-2"/>
              <c:y val="-0.1753188204415625"/>
            </c:manualLayout>
          </c:layout>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2.6622790075768829E-2"/>
                  <c:h val="0.18397097421645825"/>
                </c:manualLayout>
              </c15:layout>
            </c:ext>
          </c:extLst>
        </c:dLbl>
      </c:pivotFmt>
      <c:pivotFmt>
        <c:idx val="1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217946813252117E-2"/>
              <c:y val="-8.7083526323915389E-2"/>
            </c:manualLayout>
          </c:layout>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9726637943842062E-2"/>
              <c:y val="-5.7671761618033043E-2"/>
            </c:manualLayout>
          </c:layout>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Pivot!$Z$3:$Z$4</c:f>
              <c:strCache>
                <c:ptCount val="1"/>
                <c:pt idx="0">
                  <c:v>Female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layout>
                <c:manualLayout>
                  <c:x val="-4.360392215124053E-2"/>
                  <c:y val="9.91909834800061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58-4C4A-90A2-814584250486}"/>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Pivot!$Y$5:$Y$10</c:f>
              <c:strCache>
                <c:ptCount val="6"/>
                <c:pt idx="0">
                  <c:v>Accounting</c:v>
                </c:pt>
                <c:pt idx="1">
                  <c:v>Engineering</c:v>
                </c:pt>
                <c:pt idx="2">
                  <c:v>Finance</c:v>
                </c:pt>
                <c:pt idx="3">
                  <c:v>IT</c:v>
                </c:pt>
                <c:pt idx="4">
                  <c:v>Marketing</c:v>
                </c:pt>
                <c:pt idx="5">
                  <c:v>Sales</c:v>
                </c:pt>
              </c:strCache>
            </c:strRef>
          </c:cat>
          <c:val>
            <c:numRef>
              <c:f>Pivot!$Z$5:$Z$10</c:f>
              <c:numCache>
                <c:formatCode>General</c:formatCode>
                <c:ptCount val="6"/>
                <c:pt idx="0">
                  <c:v>3</c:v>
                </c:pt>
                <c:pt idx="1">
                  <c:v>25</c:v>
                </c:pt>
                <c:pt idx="2">
                  <c:v>1</c:v>
                </c:pt>
                <c:pt idx="3">
                  <c:v>6</c:v>
                </c:pt>
                <c:pt idx="4">
                  <c:v>8</c:v>
                </c:pt>
                <c:pt idx="5">
                  <c:v>3</c:v>
                </c:pt>
              </c:numCache>
            </c:numRef>
          </c:val>
          <c:smooth val="0"/>
          <c:extLst>
            <c:ext xmlns:c16="http://schemas.microsoft.com/office/drawing/2014/chart" uri="{C3380CC4-5D6E-409C-BE32-E72D297353CC}">
              <c16:uniqueId val="{00000000-D158-4C4A-90A2-814584250486}"/>
            </c:ext>
          </c:extLst>
        </c:ser>
        <c:ser>
          <c:idx val="1"/>
          <c:order val="1"/>
          <c:tx>
            <c:strRef>
              <c:f>Pivot!$AA$3:$AA$4</c:f>
              <c:strCache>
                <c:ptCount val="1"/>
                <c:pt idx="0">
                  <c:v>Male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5.104739266082306E-2"/>
                  <c:y val="-4.78678400494055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58-4C4A-90A2-814584250486}"/>
                </c:ext>
              </c:extLst>
            </c:dLbl>
            <c:dLbl>
              <c:idx val="1"/>
              <c:layout>
                <c:manualLayout>
                  <c:x val="-4.7377507056900907E-2"/>
                  <c:y val="-8.652153774895785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58-4C4A-90A2-814584250486}"/>
                </c:ext>
              </c:extLst>
            </c:dLbl>
            <c:dLbl>
              <c:idx val="2"/>
              <c:layout>
                <c:manualLayout>
                  <c:x val="-3.0292675679690982E-2"/>
                  <c:y val="-0.1753188204415625"/>
                </c:manualLayout>
              </c:layout>
              <c:dLblPos val="r"/>
              <c:showLegendKey val="0"/>
              <c:showVal val="1"/>
              <c:showCatName val="0"/>
              <c:showSerName val="0"/>
              <c:showPercent val="0"/>
              <c:showBubbleSize val="0"/>
              <c:extLst>
                <c:ext xmlns:c15="http://schemas.microsoft.com/office/drawing/2012/chart" uri="{CE6537A1-D6FC-4f65-9D91-7224C49458BB}">
                  <c15:layout>
                    <c:manualLayout>
                      <c:w val="2.6622790075768829E-2"/>
                      <c:h val="0.18397097421645825"/>
                    </c:manualLayout>
                  </c15:layout>
                </c:ext>
                <c:ext xmlns:c16="http://schemas.microsoft.com/office/drawing/2014/chart" uri="{C3380CC4-5D6E-409C-BE32-E72D297353CC}">
                  <c16:uniqueId val="{00000006-D158-4C4A-90A2-814584250486}"/>
                </c:ext>
              </c:extLst>
            </c:dLbl>
            <c:dLbl>
              <c:idx val="3"/>
              <c:layout>
                <c:manualLayout>
                  <c:x val="-5.8680730946367556E-3"/>
                  <c:y val="-0.155710977304307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58-4C4A-90A2-814584250486}"/>
                </c:ext>
              </c:extLst>
            </c:dLbl>
            <c:dLbl>
              <c:idx val="4"/>
              <c:layout>
                <c:manualLayout>
                  <c:x val="-3.217946813252117E-2"/>
                  <c:y val="-8.70835263239153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58-4C4A-90A2-814584250486}"/>
                </c:ext>
              </c:extLst>
            </c:dLbl>
            <c:dLbl>
              <c:idx val="5"/>
              <c:layout>
                <c:manualLayout>
                  <c:x val="-3.9726637943842062E-2"/>
                  <c:y val="-5.76717616180330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158-4C4A-90A2-814584250486}"/>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Pivot!$Y$5:$Y$10</c:f>
              <c:strCache>
                <c:ptCount val="6"/>
                <c:pt idx="0">
                  <c:v>Accounting</c:v>
                </c:pt>
                <c:pt idx="1">
                  <c:v>Engineering</c:v>
                </c:pt>
                <c:pt idx="2">
                  <c:v>Finance</c:v>
                </c:pt>
                <c:pt idx="3">
                  <c:v>IT</c:v>
                </c:pt>
                <c:pt idx="4">
                  <c:v>Marketing</c:v>
                </c:pt>
                <c:pt idx="5">
                  <c:v>Sales</c:v>
                </c:pt>
              </c:strCache>
            </c:strRef>
          </c:cat>
          <c:val>
            <c:numRef>
              <c:f>Pivot!$AA$5:$AA$10</c:f>
              <c:numCache>
                <c:formatCode>General</c:formatCode>
                <c:ptCount val="6"/>
                <c:pt idx="0">
                  <c:v>2</c:v>
                </c:pt>
                <c:pt idx="1">
                  <c:v>31</c:v>
                </c:pt>
                <c:pt idx="2">
                  <c:v>3</c:v>
                </c:pt>
                <c:pt idx="3">
                  <c:v>11</c:v>
                </c:pt>
                <c:pt idx="4">
                  <c:v>6</c:v>
                </c:pt>
                <c:pt idx="5">
                  <c:v>2</c:v>
                </c:pt>
              </c:numCache>
            </c:numRef>
          </c:val>
          <c:smooth val="0"/>
          <c:extLst>
            <c:ext xmlns:c16="http://schemas.microsoft.com/office/drawing/2014/chart" uri="{C3380CC4-5D6E-409C-BE32-E72D297353CC}">
              <c16:uniqueId val="{00000001-D158-4C4A-90A2-814584250486}"/>
            </c:ext>
          </c:extLst>
        </c:ser>
        <c:dLbls>
          <c:dLblPos val="t"/>
          <c:showLegendKey val="0"/>
          <c:showVal val="1"/>
          <c:showCatName val="0"/>
          <c:showSerName val="0"/>
          <c:showPercent val="0"/>
          <c:showBubbleSize val="0"/>
        </c:dLbls>
        <c:marker val="1"/>
        <c:smooth val="0"/>
        <c:axId val="1624761648"/>
        <c:axId val="1624762608"/>
      </c:lineChart>
      <c:catAx>
        <c:axId val="1624761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624762608"/>
        <c:crosses val="autoZero"/>
        <c:auto val="1"/>
        <c:lblAlgn val="ctr"/>
        <c:lblOffset val="100"/>
        <c:noMultiLvlLbl val="0"/>
      </c:catAx>
      <c:valAx>
        <c:axId val="16247626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62476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png"/><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5.xml"/><Relationship Id="rId25" Type="http://schemas.openxmlformats.org/officeDocument/2006/relationships/image" Target="../media/image16.svg"/><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0.svg"/><Relationship Id="rId24" Type="http://schemas.openxmlformats.org/officeDocument/2006/relationships/image" Target="../media/image15.pn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4.svg"/><Relationship Id="rId10" Type="http://schemas.openxmlformats.org/officeDocument/2006/relationships/image" Target="../media/image9.pn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2.svg"/><Relationship Id="rId22" Type="http://schemas.openxmlformats.org/officeDocument/2006/relationships/image" Target="../media/image13.png"/></Relationships>
</file>

<file path=xl/drawings/_rels/drawing2.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38910</xdr:rowOff>
    </xdr:from>
    <xdr:to>
      <xdr:col>15</xdr:col>
      <xdr:colOff>57150</xdr:colOff>
      <xdr:row>28</xdr:row>
      <xdr:rowOff>108760</xdr:rowOff>
    </xdr:to>
    <xdr:sp macro="" textlink="">
      <xdr:nvSpPr>
        <xdr:cNvPr id="3" name="Rectangle 2">
          <a:extLst>
            <a:ext uri="{FF2B5EF4-FFF2-40B4-BE49-F238E27FC236}">
              <a16:creationId xmlns:a16="http://schemas.microsoft.com/office/drawing/2014/main" id="{E29B7C07-C869-15C2-EED8-6F7F0E717EC9}"/>
            </a:ext>
          </a:extLst>
        </xdr:cNvPr>
        <xdr:cNvSpPr/>
      </xdr:nvSpPr>
      <xdr:spPr>
        <a:xfrm>
          <a:off x="0" y="38910"/>
          <a:ext cx="9176831" cy="5176871"/>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xdr:colOff>
      <xdr:row>0</xdr:row>
      <xdr:rowOff>19050</xdr:rowOff>
    </xdr:from>
    <xdr:to>
      <xdr:col>15</xdr:col>
      <xdr:colOff>57150</xdr:colOff>
      <xdr:row>3</xdr:row>
      <xdr:rowOff>95250</xdr:rowOff>
    </xdr:to>
    <xdr:sp macro="" textlink="">
      <xdr:nvSpPr>
        <xdr:cNvPr id="4" name="Rectangle 3">
          <a:extLst>
            <a:ext uri="{FF2B5EF4-FFF2-40B4-BE49-F238E27FC236}">
              <a16:creationId xmlns:a16="http://schemas.microsoft.com/office/drawing/2014/main" id="{AE38DC6E-3882-181F-2B7B-28DE5F8A1A0C}"/>
            </a:ext>
          </a:extLst>
        </xdr:cNvPr>
        <xdr:cNvSpPr/>
      </xdr:nvSpPr>
      <xdr:spPr>
        <a:xfrm>
          <a:off x="6350" y="19050"/>
          <a:ext cx="9194800" cy="628650"/>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69850</xdr:rowOff>
    </xdr:from>
    <xdr:to>
      <xdr:col>3</xdr:col>
      <xdr:colOff>76200</xdr:colOff>
      <xdr:row>8</xdr:row>
      <xdr:rowOff>6350</xdr:rowOff>
    </xdr:to>
    <xdr:sp macro="" textlink="">
      <xdr:nvSpPr>
        <xdr:cNvPr id="5" name="Rectangle 4">
          <a:extLst>
            <a:ext uri="{FF2B5EF4-FFF2-40B4-BE49-F238E27FC236}">
              <a16:creationId xmlns:a16="http://schemas.microsoft.com/office/drawing/2014/main" id="{1C553A44-5077-BA03-BDFE-08A675C0D728}"/>
            </a:ext>
          </a:extLst>
        </xdr:cNvPr>
        <xdr:cNvSpPr/>
      </xdr:nvSpPr>
      <xdr:spPr>
        <a:xfrm>
          <a:off x="0" y="622300"/>
          <a:ext cx="1905000" cy="8572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139700</xdr:colOff>
      <xdr:row>3</xdr:row>
      <xdr:rowOff>63500</xdr:rowOff>
    </xdr:from>
    <xdr:to>
      <xdr:col>6</xdr:col>
      <xdr:colOff>209550</xdr:colOff>
      <xdr:row>8</xdr:row>
      <xdr:rowOff>12700</xdr:rowOff>
    </xdr:to>
    <xdr:sp macro="" textlink="">
      <xdr:nvSpPr>
        <xdr:cNvPr id="6" name="Rectangle 5">
          <a:extLst>
            <a:ext uri="{FF2B5EF4-FFF2-40B4-BE49-F238E27FC236}">
              <a16:creationId xmlns:a16="http://schemas.microsoft.com/office/drawing/2014/main" id="{0F912AA0-7874-40D1-8DB7-4012AF35CAE0}"/>
            </a:ext>
          </a:extLst>
        </xdr:cNvPr>
        <xdr:cNvSpPr/>
      </xdr:nvSpPr>
      <xdr:spPr>
        <a:xfrm>
          <a:off x="1968500" y="615950"/>
          <a:ext cx="1898650" cy="8699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260350</xdr:colOff>
      <xdr:row>3</xdr:row>
      <xdr:rowOff>63500</xdr:rowOff>
    </xdr:from>
    <xdr:to>
      <xdr:col>9</xdr:col>
      <xdr:colOff>393700</xdr:colOff>
      <xdr:row>8</xdr:row>
      <xdr:rowOff>6350</xdr:rowOff>
    </xdr:to>
    <xdr:sp macro="" textlink="">
      <xdr:nvSpPr>
        <xdr:cNvPr id="7" name="Rectangle 6">
          <a:extLst>
            <a:ext uri="{FF2B5EF4-FFF2-40B4-BE49-F238E27FC236}">
              <a16:creationId xmlns:a16="http://schemas.microsoft.com/office/drawing/2014/main" id="{BD0F3C87-CA23-41C3-88EA-7E1B27EC93BC}"/>
            </a:ext>
          </a:extLst>
        </xdr:cNvPr>
        <xdr:cNvSpPr/>
      </xdr:nvSpPr>
      <xdr:spPr>
        <a:xfrm>
          <a:off x="3917950" y="615950"/>
          <a:ext cx="1962150" cy="8636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463550</xdr:colOff>
      <xdr:row>3</xdr:row>
      <xdr:rowOff>57150</xdr:rowOff>
    </xdr:from>
    <xdr:to>
      <xdr:col>15</xdr:col>
      <xdr:colOff>50800</xdr:colOff>
      <xdr:row>8</xdr:row>
      <xdr:rowOff>6350</xdr:rowOff>
    </xdr:to>
    <xdr:sp macro="" textlink="">
      <xdr:nvSpPr>
        <xdr:cNvPr id="8" name="Rectangle 7">
          <a:extLst>
            <a:ext uri="{FF2B5EF4-FFF2-40B4-BE49-F238E27FC236}">
              <a16:creationId xmlns:a16="http://schemas.microsoft.com/office/drawing/2014/main" id="{6EC5EB33-EB51-4C84-A3CD-92F205526C8D}"/>
            </a:ext>
          </a:extLst>
        </xdr:cNvPr>
        <xdr:cNvSpPr/>
      </xdr:nvSpPr>
      <xdr:spPr>
        <a:xfrm>
          <a:off x="5949950" y="609600"/>
          <a:ext cx="3244850" cy="8699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xdr:colOff>
      <xdr:row>8</xdr:row>
      <xdr:rowOff>69850</xdr:rowOff>
    </xdr:from>
    <xdr:to>
      <xdr:col>3</xdr:col>
      <xdr:colOff>95250</xdr:colOff>
      <xdr:row>28</xdr:row>
      <xdr:rowOff>6350</xdr:rowOff>
    </xdr:to>
    <xdr:sp macro="" textlink="">
      <xdr:nvSpPr>
        <xdr:cNvPr id="9" name="Rectangle 8">
          <a:extLst>
            <a:ext uri="{FF2B5EF4-FFF2-40B4-BE49-F238E27FC236}">
              <a16:creationId xmlns:a16="http://schemas.microsoft.com/office/drawing/2014/main" id="{8174C350-DFB6-46C2-BD44-C9FBC02CB248}"/>
            </a:ext>
          </a:extLst>
        </xdr:cNvPr>
        <xdr:cNvSpPr/>
      </xdr:nvSpPr>
      <xdr:spPr>
        <a:xfrm>
          <a:off x="6350" y="1543050"/>
          <a:ext cx="1917700" cy="36195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203200</xdr:colOff>
      <xdr:row>8</xdr:row>
      <xdr:rowOff>69850</xdr:rowOff>
    </xdr:from>
    <xdr:to>
      <xdr:col>7</xdr:col>
      <xdr:colOff>457200</xdr:colOff>
      <xdr:row>19</xdr:row>
      <xdr:rowOff>12700</xdr:rowOff>
    </xdr:to>
    <xdr:sp macro="" textlink="">
      <xdr:nvSpPr>
        <xdr:cNvPr id="10" name="Rectangle 9">
          <a:extLst>
            <a:ext uri="{FF2B5EF4-FFF2-40B4-BE49-F238E27FC236}">
              <a16:creationId xmlns:a16="http://schemas.microsoft.com/office/drawing/2014/main" id="{34AB7522-58AD-4299-A334-A0E37C5F4F7F}"/>
            </a:ext>
          </a:extLst>
        </xdr:cNvPr>
        <xdr:cNvSpPr/>
      </xdr:nvSpPr>
      <xdr:spPr>
        <a:xfrm>
          <a:off x="2032000" y="1543050"/>
          <a:ext cx="2692400" cy="19685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292100</xdr:colOff>
      <xdr:row>8</xdr:row>
      <xdr:rowOff>69850</xdr:rowOff>
    </xdr:from>
    <xdr:to>
      <xdr:col>15</xdr:col>
      <xdr:colOff>44450</xdr:colOff>
      <xdr:row>18</xdr:row>
      <xdr:rowOff>171450</xdr:rowOff>
    </xdr:to>
    <xdr:sp macro="" textlink="">
      <xdr:nvSpPr>
        <xdr:cNvPr id="11" name="Rectangle 10">
          <a:extLst>
            <a:ext uri="{FF2B5EF4-FFF2-40B4-BE49-F238E27FC236}">
              <a16:creationId xmlns:a16="http://schemas.microsoft.com/office/drawing/2014/main" id="{40B98658-9722-40E1-8EC4-2DCD990FE09A}"/>
            </a:ext>
          </a:extLst>
        </xdr:cNvPr>
        <xdr:cNvSpPr/>
      </xdr:nvSpPr>
      <xdr:spPr>
        <a:xfrm>
          <a:off x="6997700" y="1543050"/>
          <a:ext cx="2190750" cy="19431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527050</xdr:colOff>
      <xdr:row>8</xdr:row>
      <xdr:rowOff>57150</xdr:rowOff>
    </xdr:from>
    <xdr:to>
      <xdr:col>11</xdr:col>
      <xdr:colOff>247650</xdr:colOff>
      <xdr:row>18</xdr:row>
      <xdr:rowOff>177800</xdr:rowOff>
    </xdr:to>
    <xdr:sp macro="" textlink="">
      <xdr:nvSpPr>
        <xdr:cNvPr id="12" name="Rectangle 11">
          <a:extLst>
            <a:ext uri="{FF2B5EF4-FFF2-40B4-BE49-F238E27FC236}">
              <a16:creationId xmlns:a16="http://schemas.microsoft.com/office/drawing/2014/main" id="{0C549BC2-3CBC-46F6-8C4E-DF9C5BE51532}"/>
            </a:ext>
          </a:extLst>
        </xdr:cNvPr>
        <xdr:cNvSpPr/>
      </xdr:nvSpPr>
      <xdr:spPr>
        <a:xfrm>
          <a:off x="4794250" y="1530350"/>
          <a:ext cx="2159000" cy="19621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209550</xdr:colOff>
      <xdr:row>19</xdr:row>
      <xdr:rowOff>50800</xdr:rowOff>
    </xdr:from>
    <xdr:to>
      <xdr:col>15</xdr:col>
      <xdr:colOff>6350</xdr:colOff>
      <xdr:row>28</xdr:row>
      <xdr:rowOff>31750</xdr:rowOff>
    </xdr:to>
    <xdr:sp macro="" textlink="">
      <xdr:nvSpPr>
        <xdr:cNvPr id="13" name="Rectangle 12">
          <a:extLst>
            <a:ext uri="{FF2B5EF4-FFF2-40B4-BE49-F238E27FC236}">
              <a16:creationId xmlns:a16="http://schemas.microsoft.com/office/drawing/2014/main" id="{7E050D87-BF12-4201-9FAD-E5A8407D82A9}"/>
            </a:ext>
          </a:extLst>
        </xdr:cNvPr>
        <xdr:cNvSpPr/>
      </xdr:nvSpPr>
      <xdr:spPr>
        <a:xfrm>
          <a:off x="5695950" y="3549650"/>
          <a:ext cx="3454400" cy="16383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177800</xdr:colOff>
      <xdr:row>19</xdr:row>
      <xdr:rowOff>57150</xdr:rowOff>
    </xdr:from>
    <xdr:to>
      <xdr:col>9</xdr:col>
      <xdr:colOff>158750</xdr:colOff>
      <xdr:row>28</xdr:row>
      <xdr:rowOff>57150</xdr:rowOff>
    </xdr:to>
    <xdr:sp macro="" textlink="">
      <xdr:nvSpPr>
        <xdr:cNvPr id="14" name="Rectangle 13">
          <a:extLst>
            <a:ext uri="{FF2B5EF4-FFF2-40B4-BE49-F238E27FC236}">
              <a16:creationId xmlns:a16="http://schemas.microsoft.com/office/drawing/2014/main" id="{06D7B81F-3DF1-4FB0-8748-BEFAA07FCE54}"/>
            </a:ext>
          </a:extLst>
        </xdr:cNvPr>
        <xdr:cNvSpPr/>
      </xdr:nvSpPr>
      <xdr:spPr>
        <a:xfrm>
          <a:off x="2006600" y="3556000"/>
          <a:ext cx="3638550" cy="16573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234950</xdr:colOff>
      <xdr:row>0</xdr:row>
      <xdr:rowOff>95250</xdr:rowOff>
    </xdr:from>
    <xdr:to>
      <xdr:col>1</xdr:col>
      <xdr:colOff>44450</xdr:colOff>
      <xdr:row>2</xdr:row>
      <xdr:rowOff>146050</xdr:rowOff>
    </xdr:to>
    <xdr:pic>
      <xdr:nvPicPr>
        <xdr:cNvPr id="16" name="Graphic 15" descr="Gauge with solid fill">
          <a:extLst>
            <a:ext uri="{FF2B5EF4-FFF2-40B4-BE49-F238E27FC236}">
              <a16:creationId xmlns:a16="http://schemas.microsoft.com/office/drawing/2014/main" id="{ED4983EA-5259-9DCB-889E-0932FDA52F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4950" y="95250"/>
          <a:ext cx="419100" cy="419100"/>
        </a:xfrm>
        <a:prstGeom prst="rect">
          <a:avLst/>
        </a:prstGeom>
      </xdr:spPr>
    </xdr:pic>
    <xdr:clientData/>
  </xdr:twoCellAnchor>
  <xdr:twoCellAnchor editAs="oneCell">
    <xdr:from>
      <xdr:col>13</xdr:col>
      <xdr:colOff>0</xdr:colOff>
      <xdr:row>0</xdr:row>
      <xdr:rowOff>82550</xdr:rowOff>
    </xdr:from>
    <xdr:to>
      <xdr:col>13</xdr:col>
      <xdr:colOff>476250</xdr:colOff>
      <xdr:row>3</xdr:row>
      <xdr:rowOff>6350</xdr:rowOff>
    </xdr:to>
    <xdr:pic>
      <xdr:nvPicPr>
        <xdr:cNvPr id="18" name="Graphic 17" descr="Monitor with solid fill">
          <a:extLst>
            <a:ext uri="{FF2B5EF4-FFF2-40B4-BE49-F238E27FC236}">
              <a16:creationId xmlns:a16="http://schemas.microsoft.com/office/drawing/2014/main" id="{A16D396B-7B7A-9FD6-AC55-1308C334543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24800" y="82550"/>
          <a:ext cx="476250" cy="476250"/>
        </a:xfrm>
        <a:prstGeom prst="rect">
          <a:avLst/>
        </a:prstGeom>
      </xdr:spPr>
    </xdr:pic>
    <xdr:clientData/>
  </xdr:twoCellAnchor>
  <xdr:twoCellAnchor editAs="oneCell">
    <xdr:from>
      <xdr:col>1</xdr:col>
      <xdr:colOff>158750</xdr:colOff>
      <xdr:row>0</xdr:row>
      <xdr:rowOff>88900</xdr:rowOff>
    </xdr:from>
    <xdr:to>
      <xdr:col>2</xdr:col>
      <xdr:colOff>25400</xdr:colOff>
      <xdr:row>3</xdr:row>
      <xdr:rowOff>12700</xdr:rowOff>
    </xdr:to>
    <xdr:pic>
      <xdr:nvPicPr>
        <xdr:cNvPr id="24" name="Graphic 23" descr="Group brainstorm with solid fill">
          <a:extLst>
            <a:ext uri="{FF2B5EF4-FFF2-40B4-BE49-F238E27FC236}">
              <a16:creationId xmlns:a16="http://schemas.microsoft.com/office/drawing/2014/main" id="{FBA41AC4-E495-F861-7E39-80A610A8A3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8350" y="88900"/>
          <a:ext cx="476250" cy="476250"/>
        </a:xfrm>
        <a:prstGeom prst="rect">
          <a:avLst/>
        </a:prstGeom>
      </xdr:spPr>
    </xdr:pic>
    <xdr:clientData/>
  </xdr:twoCellAnchor>
  <xdr:twoCellAnchor editAs="oneCell">
    <xdr:from>
      <xdr:col>14</xdr:col>
      <xdr:colOff>0</xdr:colOff>
      <xdr:row>0</xdr:row>
      <xdr:rowOff>76200</xdr:rowOff>
    </xdr:from>
    <xdr:to>
      <xdr:col>14</xdr:col>
      <xdr:colOff>488950</xdr:colOff>
      <xdr:row>3</xdr:row>
      <xdr:rowOff>12700</xdr:rowOff>
    </xdr:to>
    <xdr:pic macro="[0]!Graphic25_Click">
      <xdr:nvPicPr>
        <xdr:cNvPr id="26" name="Graphic 25" descr="Connections with solid fill">
          <a:extLst>
            <a:ext uri="{FF2B5EF4-FFF2-40B4-BE49-F238E27FC236}">
              <a16:creationId xmlns:a16="http://schemas.microsoft.com/office/drawing/2014/main" id="{B85B8A2F-DB20-670A-15BD-1578142306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34400" y="76200"/>
          <a:ext cx="488950" cy="488950"/>
        </a:xfrm>
        <a:prstGeom prst="rect">
          <a:avLst/>
        </a:prstGeom>
      </xdr:spPr>
    </xdr:pic>
    <xdr:clientData/>
  </xdr:twoCellAnchor>
  <xdr:twoCellAnchor>
    <xdr:from>
      <xdr:col>2</xdr:col>
      <xdr:colOff>311150</xdr:colOff>
      <xdr:row>0</xdr:row>
      <xdr:rowOff>57150</xdr:rowOff>
    </xdr:from>
    <xdr:to>
      <xdr:col>12</xdr:col>
      <xdr:colOff>101600</xdr:colOff>
      <xdr:row>3</xdr:row>
      <xdr:rowOff>50800</xdr:rowOff>
    </xdr:to>
    <xdr:sp macro="" textlink="">
      <xdr:nvSpPr>
        <xdr:cNvPr id="27" name="TextBox 26">
          <a:extLst>
            <a:ext uri="{FF2B5EF4-FFF2-40B4-BE49-F238E27FC236}">
              <a16:creationId xmlns:a16="http://schemas.microsoft.com/office/drawing/2014/main" id="{01490C68-FE7A-CB64-3AA2-78899E7C6A04}"/>
            </a:ext>
          </a:extLst>
        </xdr:cNvPr>
        <xdr:cNvSpPr txBox="1"/>
      </xdr:nvSpPr>
      <xdr:spPr>
        <a:xfrm>
          <a:off x="1530350" y="57150"/>
          <a:ext cx="588645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latin typeface="Calibri" panose="020F0502020204030204" pitchFamily="34" charset="0"/>
              <a:ea typeface="Calibri" panose="020F0502020204030204" pitchFamily="34" charset="0"/>
              <a:cs typeface="Calibri" panose="020F0502020204030204" pitchFamily="34" charset="0"/>
            </a:rPr>
            <a:t>EMPLOYEE WORKFORCE DASHBOARD</a:t>
          </a:r>
        </a:p>
      </xdr:txBody>
    </xdr:sp>
    <xdr:clientData/>
  </xdr:twoCellAnchor>
  <xdr:twoCellAnchor>
    <xdr:from>
      <xdr:col>1</xdr:col>
      <xdr:colOff>82550</xdr:colOff>
      <xdr:row>3</xdr:row>
      <xdr:rowOff>95250</xdr:rowOff>
    </xdr:from>
    <xdr:to>
      <xdr:col>3</xdr:col>
      <xdr:colOff>69850</xdr:colOff>
      <xdr:row>5</xdr:row>
      <xdr:rowOff>76200</xdr:rowOff>
    </xdr:to>
    <xdr:sp macro="" textlink="">
      <xdr:nvSpPr>
        <xdr:cNvPr id="28" name="TextBox 27">
          <a:extLst>
            <a:ext uri="{FF2B5EF4-FFF2-40B4-BE49-F238E27FC236}">
              <a16:creationId xmlns:a16="http://schemas.microsoft.com/office/drawing/2014/main" id="{011ED645-F80B-F23C-7AFB-5788FD30CE9B}"/>
            </a:ext>
          </a:extLst>
        </xdr:cNvPr>
        <xdr:cNvSpPr txBox="1"/>
      </xdr:nvSpPr>
      <xdr:spPr>
        <a:xfrm>
          <a:off x="692150" y="647700"/>
          <a:ext cx="1206500"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EMPLOYEE</a:t>
          </a:r>
        </a:p>
      </xdr:txBody>
    </xdr:sp>
    <xdr:clientData/>
  </xdr:twoCellAnchor>
  <xdr:twoCellAnchor>
    <xdr:from>
      <xdr:col>4</xdr:col>
      <xdr:colOff>431800</xdr:colOff>
      <xdr:row>3</xdr:row>
      <xdr:rowOff>63500</xdr:rowOff>
    </xdr:from>
    <xdr:to>
      <xdr:col>6</xdr:col>
      <xdr:colOff>76200</xdr:colOff>
      <xdr:row>5</xdr:row>
      <xdr:rowOff>158750</xdr:rowOff>
    </xdr:to>
    <xdr:sp macro="" textlink="">
      <xdr:nvSpPr>
        <xdr:cNvPr id="29" name="TextBox 28">
          <a:extLst>
            <a:ext uri="{FF2B5EF4-FFF2-40B4-BE49-F238E27FC236}">
              <a16:creationId xmlns:a16="http://schemas.microsoft.com/office/drawing/2014/main" id="{7E75B438-FEEB-4648-8C59-730C1ACD5977}"/>
            </a:ext>
          </a:extLst>
        </xdr:cNvPr>
        <xdr:cNvSpPr txBox="1"/>
      </xdr:nvSpPr>
      <xdr:spPr>
        <a:xfrm>
          <a:off x="2870200" y="615950"/>
          <a:ext cx="86360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ACTIVE EMPLOYEE</a:t>
          </a:r>
        </a:p>
      </xdr:txBody>
    </xdr:sp>
    <xdr:clientData/>
  </xdr:twoCellAnchor>
  <xdr:twoCellAnchor>
    <xdr:from>
      <xdr:col>8</xdr:col>
      <xdr:colOff>50800</xdr:colOff>
      <xdr:row>3</xdr:row>
      <xdr:rowOff>63500</xdr:rowOff>
    </xdr:from>
    <xdr:to>
      <xdr:col>9</xdr:col>
      <xdr:colOff>393700</xdr:colOff>
      <xdr:row>6</xdr:row>
      <xdr:rowOff>12700</xdr:rowOff>
    </xdr:to>
    <xdr:sp macro="" textlink="">
      <xdr:nvSpPr>
        <xdr:cNvPr id="30" name="TextBox 29">
          <a:extLst>
            <a:ext uri="{FF2B5EF4-FFF2-40B4-BE49-F238E27FC236}">
              <a16:creationId xmlns:a16="http://schemas.microsoft.com/office/drawing/2014/main" id="{077F049C-D7F2-40F2-8322-4B502E36867C}"/>
            </a:ext>
          </a:extLst>
        </xdr:cNvPr>
        <xdr:cNvSpPr txBox="1"/>
      </xdr:nvSpPr>
      <xdr:spPr>
        <a:xfrm>
          <a:off x="4927600" y="615950"/>
          <a:ext cx="952500" cy="501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INACTIVE EMPLOYEE</a:t>
          </a:r>
        </a:p>
      </xdr:txBody>
    </xdr:sp>
    <xdr:clientData/>
  </xdr:twoCellAnchor>
  <xdr:twoCellAnchor>
    <xdr:from>
      <xdr:col>0</xdr:col>
      <xdr:colOff>0</xdr:colOff>
      <xdr:row>3</xdr:row>
      <xdr:rowOff>177800</xdr:rowOff>
    </xdr:from>
    <xdr:to>
      <xdr:col>1</xdr:col>
      <xdr:colOff>298450</xdr:colOff>
      <xdr:row>8</xdr:row>
      <xdr:rowOff>19050</xdr:rowOff>
    </xdr:to>
    <xdr:graphicFrame macro="">
      <xdr:nvGraphicFramePr>
        <xdr:cNvPr id="31" name="Chart 30">
          <a:extLst>
            <a:ext uri="{FF2B5EF4-FFF2-40B4-BE49-F238E27FC236}">
              <a16:creationId xmlns:a16="http://schemas.microsoft.com/office/drawing/2014/main" id="{0DA1B6D5-F4C5-4FFF-A944-E1E4B7755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368300</xdr:colOff>
      <xdr:row>5</xdr:row>
      <xdr:rowOff>69850</xdr:rowOff>
    </xdr:from>
    <xdr:to>
      <xdr:col>2</xdr:col>
      <xdr:colOff>292100</xdr:colOff>
      <xdr:row>7</xdr:row>
      <xdr:rowOff>57150</xdr:rowOff>
    </xdr:to>
    <xdr:sp macro="" textlink="Pivot!B11">
      <xdr:nvSpPr>
        <xdr:cNvPr id="32" name="TextBox 31">
          <a:extLst>
            <a:ext uri="{FF2B5EF4-FFF2-40B4-BE49-F238E27FC236}">
              <a16:creationId xmlns:a16="http://schemas.microsoft.com/office/drawing/2014/main" id="{F113C2F0-A9F0-2455-A755-B9E563C82A00}"/>
            </a:ext>
          </a:extLst>
        </xdr:cNvPr>
        <xdr:cNvSpPr txBox="1"/>
      </xdr:nvSpPr>
      <xdr:spPr>
        <a:xfrm>
          <a:off x="977900" y="990600"/>
          <a:ext cx="5334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F03EC7-81EA-4113-AA78-42808FE448C5}" type="TxLink">
            <a:rPr lang="en-US" sz="1600" b="1" i="0" u="none" strike="noStrike">
              <a:solidFill>
                <a:srgbClr val="000000"/>
              </a:solidFill>
              <a:latin typeface="Aptos Narrow"/>
            </a:rPr>
            <a:t>792</a:t>
          </a:fld>
          <a:endParaRPr lang="en-IN" sz="1600" b="1"/>
        </a:p>
      </xdr:txBody>
    </xdr:sp>
    <xdr:clientData/>
  </xdr:twoCellAnchor>
  <xdr:twoCellAnchor editAs="oneCell">
    <xdr:from>
      <xdr:col>0</xdr:col>
      <xdr:colOff>304800</xdr:colOff>
      <xdr:row>4</xdr:row>
      <xdr:rowOff>177800</xdr:rowOff>
    </xdr:from>
    <xdr:to>
      <xdr:col>0</xdr:col>
      <xdr:colOff>584200</xdr:colOff>
      <xdr:row>6</xdr:row>
      <xdr:rowOff>88900</xdr:rowOff>
    </xdr:to>
    <xdr:pic>
      <xdr:nvPicPr>
        <xdr:cNvPr id="34" name="Graphic 33" descr="Users with solid fill">
          <a:extLst>
            <a:ext uri="{FF2B5EF4-FFF2-40B4-BE49-F238E27FC236}">
              <a16:creationId xmlns:a16="http://schemas.microsoft.com/office/drawing/2014/main" id="{D8C81813-CEF0-AEA2-D9F7-6BC9B166321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4800" y="914400"/>
          <a:ext cx="279400" cy="279400"/>
        </a:xfrm>
        <a:prstGeom prst="rect">
          <a:avLst/>
        </a:prstGeom>
      </xdr:spPr>
    </xdr:pic>
    <xdr:clientData/>
  </xdr:twoCellAnchor>
  <xdr:twoCellAnchor>
    <xdr:from>
      <xdr:col>3</xdr:col>
      <xdr:colOff>146051</xdr:colOff>
      <xdr:row>4</xdr:row>
      <xdr:rowOff>25400</xdr:rowOff>
    </xdr:from>
    <xdr:to>
      <xdr:col>4</xdr:col>
      <xdr:colOff>266700</xdr:colOff>
      <xdr:row>7</xdr:row>
      <xdr:rowOff>38100</xdr:rowOff>
    </xdr:to>
    <xdr:graphicFrame macro="">
      <xdr:nvGraphicFramePr>
        <xdr:cNvPr id="35" name="Chart 34">
          <a:extLst>
            <a:ext uri="{FF2B5EF4-FFF2-40B4-BE49-F238E27FC236}">
              <a16:creationId xmlns:a16="http://schemas.microsoft.com/office/drawing/2014/main" id="{C75399CE-2D7D-4CEF-8DE5-E650ACA7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381000</xdr:colOff>
      <xdr:row>4</xdr:row>
      <xdr:rowOff>171450</xdr:rowOff>
    </xdr:from>
    <xdr:to>
      <xdr:col>4</xdr:col>
      <xdr:colOff>19050</xdr:colOff>
      <xdr:row>6</xdr:row>
      <xdr:rowOff>50800</xdr:rowOff>
    </xdr:to>
    <xdr:pic>
      <xdr:nvPicPr>
        <xdr:cNvPr id="37" name="Graphic 36" descr="Network with solid fill">
          <a:extLst>
            <a:ext uri="{FF2B5EF4-FFF2-40B4-BE49-F238E27FC236}">
              <a16:creationId xmlns:a16="http://schemas.microsoft.com/office/drawing/2014/main" id="{144288A4-D3DD-10CB-D6AC-8EC62C55F29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09800" y="908050"/>
          <a:ext cx="247650" cy="247650"/>
        </a:xfrm>
        <a:prstGeom prst="rect">
          <a:avLst/>
        </a:prstGeom>
      </xdr:spPr>
    </xdr:pic>
    <xdr:clientData/>
  </xdr:twoCellAnchor>
  <xdr:twoCellAnchor>
    <xdr:from>
      <xdr:col>4</xdr:col>
      <xdr:colOff>488950</xdr:colOff>
      <xdr:row>5</xdr:row>
      <xdr:rowOff>88900</xdr:rowOff>
    </xdr:from>
    <xdr:to>
      <xdr:col>5</xdr:col>
      <xdr:colOff>387350</xdr:colOff>
      <xdr:row>7</xdr:row>
      <xdr:rowOff>25400</xdr:rowOff>
    </xdr:to>
    <xdr:sp macro="" textlink="Pivot!$B$9">
      <xdr:nvSpPr>
        <xdr:cNvPr id="38" name="TextBox 37">
          <a:extLst>
            <a:ext uri="{FF2B5EF4-FFF2-40B4-BE49-F238E27FC236}">
              <a16:creationId xmlns:a16="http://schemas.microsoft.com/office/drawing/2014/main" id="{8FDFA88F-4117-CEA1-BE78-FFED161C43E8}"/>
            </a:ext>
          </a:extLst>
        </xdr:cNvPr>
        <xdr:cNvSpPr txBox="1"/>
      </xdr:nvSpPr>
      <xdr:spPr>
        <a:xfrm>
          <a:off x="2927350" y="1009650"/>
          <a:ext cx="5080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BC0238-A635-4D3B-AA67-2D06E563E307}" type="TxLink">
            <a:rPr lang="en-US" sz="1600" b="1" i="0" u="none" strike="noStrike">
              <a:solidFill>
                <a:srgbClr val="000000"/>
              </a:solidFill>
              <a:latin typeface="Aptos Narrow"/>
            </a:rPr>
            <a:t>691</a:t>
          </a:fld>
          <a:endParaRPr lang="en-IN" sz="1600" b="1"/>
        </a:p>
      </xdr:txBody>
    </xdr:sp>
    <xdr:clientData/>
  </xdr:twoCellAnchor>
  <xdr:twoCellAnchor>
    <xdr:from>
      <xdr:col>6</xdr:col>
      <xdr:colOff>368301</xdr:colOff>
      <xdr:row>4</xdr:row>
      <xdr:rowOff>31750</xdr:rowOff>
    </xdr:from>
    <xdr:to>
      <xdr:col>7</xdr:col>
      <xdr:colOff>419100</xdr:colOff>
      <xdr:row>7</xdr:row>
      <xdr:rowOff>63500</xdr:rowOff>
    </xdr:to>
    <xdr:graphicFrame macro="">
      <xdr:nvGraphicFramePr>
        <xdr:cNvPr id="40" name="Chart 39">
          <a:extLst>
            <a:ext uri="{FF2B5EF4-FFF2-40B4-BE49-F238E27FC236}">
              <a16:creationId xmlns:a16="http://schemas.microsoft.com/office/drawing/2014/main" id="{F410DFBC-349D-4B54-B71C-EB9CFCA34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57150</xdr:colOff>
      <xdr:row>5</xdr:row>
      <xdr:rowOff>120650</xdr:rowOff>
    </xdr:from>
    <xdr:to>
      <xdr:col>8</xdr:col>
      <xdr:colOff>565150</xdr:colOff>
      <xdr:row>7</xdr:row>
      <xdr:rowOff>69850</xdr:rowOff>
    </xdr:to>
    <xdr:sp macro="" textlink="Pivot!$B$10">
      <xdr:nvSpPr>
        <xdr:cNvPr id="41" name="TextBox 40">
          <a:extLst>
            <a:ext uri="{FF2B5EF4-FFF2-40B4-BE49-F238E27FC236}">
              <a16:creationId xmlns:a16="http://schemas.microsoft.com/office/drawing/2014/main" id="{6BCB25A9-F158-A6AF-8AAB-84786A54E93D}"/>
            </a:ext>
          </a:extLst>
        </xdr:cNvPr>
        <xdr:cNvSpPr txBox="1"/>
      </xdr:nvSpPr>
      <xdr:spPr>
        <a:xfrm>
          <a:off x="4933950" y="1041400"/>
          <a:ext cx="5080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2D6C0F-6FF7-4FB5-8582-38310E74DA78}" type="TxLink">
            <a:rPr lang="en-US" sz="1600" b="1" i="0" u="none" strike="noStrike">
              <a:solidFill>
                <a:srgbClr val="000000"/>
              </a:solidFill>
              <a:latin typeface="Aptos Narrow"/>
            </a:rPr>
            <a:t>101</a:t>
          </a:fld>
          <a:endParaRPr lang="en-IN" sz="1600" b="1"/>
        </a:p>
      </xdr:txBody>
    </xdr:sp>
    <xdr:clientData/>
  </xdr:twoCellAnchor>
  <xdr:twoCellAnchor>
    <xdr:from>
      <xdr:col>0</xdr:col>
      <xdr:colOff>101600</xdr:colOff>
      <xdr:row>9</xdr:row>
      <xdr:rowOff>177800</xdr:rowOff>
    </xdr:from>
    <xdr:to>
      <xdr:col>3</xdr:col>
      <xdr:colOff>12700</xdr:colOff>
      <xdr:row>25</xdr:row>
      <xdr:rowOff>107950</xdr:rowOff>
    </xdr:to>
    <xdr:graphicFrame macro="">
      <xdr:nvGraphicFramePr>
        <xdr:cNvPr id="42" name="Chart 41">
          <a:extLst>
            <a:ext uri="{FF2B5EF4-FFF2-40B4-BE49-F238E27FC236}">
              <a16:creationId xmlns:a16="http://schemas.microsoft.com/office/drawing/2014/main" id="{8FE257DB-1448-4202-A49F-40654621F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450851</xdr:colOff>
      <xdr:row>9</xdr:row>
      <xdr:rowOff>171450</xdr:rowOff>
    </xdr:from>
    <xdr:to>
      <xdr:col>7</xdr:col>
      <xdr:colOff>260350</xdr:colOff>
      <xdr:row>19</xdr:row>
      <xdr:rowOff>12700</xdr:rowOff>
    </xdr:to>
    <xdr:graphicFrame macro="">
      <xdr:nvGraphicFramePr>
        <xdr:cNvPr id="43" name="Chart 42">
          <a:extLst>
            <a:ext uri="{FF2B5EF4-FFF2-40B4-BE49-F238E27FC236}">
              <a16:creationId xmlns:a16="http://schemas.microsoft.com/office/drawing/2014/main" id="{B0A45C46-8E98-4540-8481-54D04F7C7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577850</xdr:colOff>
      <xdr:row>8</xdr:row>
      <xdr:rowOff>63500</xdr:rowOff>
    </xdr:from>
    <xdr:to>
      <xdr:col>6</xdr:col>
      <xdr:colOff>419100</xdr:colOff>
      <xdr:row>9</xdr:row>
      <xdr:rowOff>76200</xdr:rowOff>
    </xdr:to>
    <xdr:sp macro="" textlink="">
      <xdr:nvSpPr>
        <xdr:cNvPr id="44" name="TextBox 43">
          <a:extLst>
            <a:ext uri="{FF2B5EF4-FFF2-40B4-BE49-F238E27FC236}">
              <a16:creationId xmlns:a16="http://schemas.microsoft.com/office/drawing/2014/main" id="{BDAC30E5-6BA8-4E47-AE3F-03C1DE34B5C2}"/>
            </a:ext>
          </a:extLst>
        </xdr:cNvPr>
        <xdr:cNvSpPr txBox="1"/>
      </xdr:nvSpPr>
      <xdr:spPr>
        <a:xfrm>
          <a:off x="2406650" y="1536700"/>
          <a:ext cx="167005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EMPLOYEE AGE DISTRIBUTION</a:t>
          </a:r>
        </a:p>
      </xdr:txBody>
    </xdr:sp>
    <xdr:clientData/>
  </xdr:twoCellAnchor>
  <xdr:twoCellAnchor>
    <xdr:from>
      <xdr:col>0</xdr:col>
      <xdr:colOff>88900</xdr:colOff>
      <xdr:row>8</xdr:row>
      <xdr:rowOff>76200</xdr:rowOff>
    </xdr:from>
    <xdr:to>
      <xdr:col>3</xdr:col>
      <xdr:colOff>107950</xdr:colOff>
      <xdr:row>9</xdr:row>
      <xdr:rowOff>127000</xdr:rowOff>
    </xdr:to>
    <xdr:sp macro="" textlink="">
      <xdr:nvSpPr>
        <xdr:cNvPr id="45" name="TextBox 44">
          <a:extLst>
            <a:ext uri="{FF2B5EF4-FFF2-40B4-BE49-F238E27FC236}">
              <a16:creationId xmlns:a16="http://schemas.microsoft.com/office/drawing/2014/main" id="{D8A1ED2C-3C3B-48C9-B237-FD108A607EAA}"/>
            </a:ext>
          </a:extLst>
        </xdr:cNvPr>
        <xdr:cNvSpPr txBox="1"/>
      </xdr:nvSpPr>
      <xdr:spPr>
        <a:xfrm>
          <a:off x="88900" y="1549400"/>
          <a:ext cx="184785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TOP</a:t>
          </a:r>
          <a:r>
            <a:rPr lang="en-IN" sz="900" b="1" baseline="0"/>
            <a:t> 10 HIGHEST PAID EMPLOYEE</a:t>
          </a:r>
          <a:endParaRPr lang="en-IN" sz="900" b="1"/>
        </a:p>
      </xdr:txBody>
    </xdr:sp>
    <xdr:clientData/>
  </xdr:twoCellAnchor>
  <xdr:twoCellAnchor>
    <xdr:from>
      <xdr:col>8</xdr:col>
      <xdr:colOff>57151</xdr:colOff>
      <xdr:row>9</xdr:row>
      <xdr:rowOff>177800</xdr:rowOff>
    </xdr:from>
    <xdr:to>
      <xdr:col>11</xdr:col>
      <xdr:colOff>101600</xdr:colOff>
      <xdr:row>18</xdr:row>
      <xdr:rowOff>19050</xdr:rowOff>
    </xdr:to>
    <xdr:graphicFrame macro="">
      <xdr:nvGraphicFramePr>
        <xdr:cNvPr id="47" name="Chart 46">
          <a:extLst>
            <a:ext uri="{FF2B5EF4-FFF2-40B4-BE49-F238E27FC236}">
              <a16:creationId xmlns:a16="http://schemas.microsoft.com/office/drawing/2014/main" id="{C5655043-521B-42C4-BE35-5A3B76D73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0</xdr:colOff>
      <xdr:row>8</xdr:row>
      <xdr:rowOff>120650</xdr:rowOff>
    </xdr:from>
    <xdr:to>
      <xdr:col>11</xdr:col>
      <xdr:colOff>101600</xdr:colOff>
      <xdr:row>10</xdr:row>
      <xdr:rowOff>31750</xdr:rowOff>
    </xdr:to>
    <xdr:sp macro="" textlink="">
      <xdr:nvSpPr>
        <xdr:cNvPr id="49" name="TextBox 48">
          <a:extLst>
            <a:ext uri="{FF2B5EF4-FFF2-40B4-BE49-F238E27FC236}">
              <a16:creationId xmlns:a16="http://schemas.microsoft.com/office/drawing/2014/main" id="{3B90E8C8-5513-4225-9911-4F860CD96C71}"/>
            </a:ext>
          </a:extLst>
        </xdr:cNvPr>
        <xdr:cNvSpPr txBox="1"/>
      </xdr:nvSpPr>
      <xdr:spPr>
        <a:xfrm>
          <a:off x="4876800" y="1593850"/>
          <a:ext cx="193040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EMPLOYEE COUNT</a:t>
          </a:r>
          <a:r>
            <a:rPr lang="en-IN" sz="900" b="1" baseline="0"/>
            <a:t> BY DEPARTMENT</a:t>
          </a:r>
          <a:endParaRPr lang="en-IN" sz="900" b="1"/>
        </a:p>
      </xdr:txBody>
    </xdr:sp>
    <xdr:clientData/>
  </xdr:twoCellAnchor>
  <xdr:twoCellAnchor>
    <xdr:from>
      <xdr:col>11</xdr:col>
      <xdr:colOff>330200</xdr:colOff>
      <xdr:row>10</xdr:row>
      <xdr:rowOff>76200</xdr:rowOff>
    </xdr:from>
    <xdr:to>
      <xdr:col>15</xdr:col>
      <xdr:colOff>6351</xdr:colOff>
      <xdr:row>18</xdr:row>
      <xdr:rowOff>107950</xdr:rowOff>
    </xdr:to>
    <xdr:graphicFrame macro="">
      <xdr:nvGraphicFramePr>
        <xdr:cNvPr id="50" name="Chart 49">
          <a:extLst>
            <a:ext uri="{FF2B5EF4-FFF2-40B4-BE49-F238E27FC236}">
              <a16:creationId xmlns:a16="http://schemas.microsoft.com/office/drawing/2014/main" id="{6CA8E8EC-9014-4F1E-BD2B-C11D29966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533400</xdr:colOff>
      <xdr:row>8</xdr:row>
      <xdr:rowOff>114300</xdr:rowOff>
    </xdr:from>
    <xdr:to>
      <xdr:col>15</xdr:col>
      <xdr:colOff>25400</xdr:colOff>
      <xdr:row>10</xdr:row>
      <xdr:rowOff>6350</xdr:rowOff>
    </xdr:to>
    <xdr:sp macro="" textlink="">
      <xdr:nvSpPr>
        <xdr:cNvPr id="51" name="TextBox 50">
          <a:extLst>
            <a:ext uri="{FF2B5EF4-FFF2-40B4-BE49-F238E27FC236}">
              <a16:creationId xmlns:a16="http://schemas.microsoft.com/office/drawing/2014/main" id="{C7FB7379-6F8A-42A3-8E07-6FF339A1FCCE}"/>
            </a:ext>
          </a:extLst>
        </xdr:cNvPr>
        <xdr:cNvSpPr txBox="1"/>
      </xdr:nvSpPr>
      <xdr:spPr>
        <a:xfrm>
          <a:off x="7239000" y="1587500"/>
          <a:ext cx="1930400" cy="260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AVG</a:t>
          </a:r>
          <a:r>
            <a:rPr lang="en-IN" sz="900" b="1" baseline="0"/>
            <a:t> YEAR SERVICE BY GENDER</a:t>
          </a:r>
          <a:endParaRPr lang="en-IN" sz="900" b="1"/>
        </a:p>
      </xdr:txBody>
    </xdr:sp>
    <xdr:clientData/>
  </xdr:twoCellAnchor>
  <xdr:twoCellAnchor>
    <xdr:from>
      <xdr:col>3</xdr:col>
      <xdr:colOff>304800</xdr:colOff>
      <xdr:row>20</xdr:row>
      <xdr:rowOff>44450</xdr:rowOff>
    </xdr:from>
    <xdr:to>
      <xdr:col>8</xdr:col>
      <xdr:colOff>431800</xdr:colOff>
      <xdr:row>28</xdr:row>
      <xdr:rowOff>0</xdr:rowOff>
    </xdr:to>
    <xdr:graphicFrame macro="">
      <xdr:nvGraphicFramePr>
        <xdr:cNvPr id="53" name="Chart 52">
          <a:extLst>
            <a:ext uri="{FF2B5EF4-FFF2-40B4-BE49-F238E27FC236}">
              <a16:creationId xmlns:a16="http://schemas.microsoft.com/office/drawing/2014/main" id="{5618D6DB-15FE-4813-8692-0B065FBC0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279400</xdr:colOff>
      <xdr:row>19</xdr:row>
      <xdr:rowOff>76200</xdr:rowOff>
    </xdr:from>
    <xdr:to>
      <xdr:col>6</xdr:col>
      <xdr:colOff>311150</xdr:colOff>
      <xdr:row>20</xdr:row>
      <xdr:rowOff>158750</xdr:rowOff>
    </xdr:to>
    <xdr:sp macro="" textlink="">
      <xdr:nvSpPr>
        <xdr:cNvPr id="56" name="TextBox 55">
          <a:extLst>
            <a:ext uri="{FF2B5EF4-FFF2-40B4-BE49-F238E27FC236}">
              <a16:creationId xmlns:a16="http://schemas.microsoft.com/office/drawing/2014/main" id="{1A42682D-61A8-49AE-84DB-80639F652FE2}"/>
            </a:ext>
          </a:extLst>
        </xdr:cNvPr>
        <xdr:cNvSpPr txBox="1"/>
      </xdr:nvSpPr>
      <xdr:spPr>
        <a:xfrm>
          <a:off x="2108200" y="3575050"/>
          <a:ext cx="18605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EXIT</a:t>
          </a:r>
          <a:r>
            <a:rPr lang="en-IN" sz="900" b="1" baseline="0"/>
            <a:t> COUNT BY AGE &amp; GENDER</a:t>
          </a:r>
          <a:endParaRPr lang="en-IN" sz="900" b="1"/>
        </a:p>
      </xdr:txBody>
    </xdr:sp>
    <xdr:clientData/>
  </xdr:twoCellAnchor>
  <xdr:twoCellAnchor>
    <xdr:from>
      <xdr:col>9</xdr:col>
      <xdr:colOff>209550</xdr:colOff>
      <xdr:row>19</xdr:row>
      <xdr:rowOff>50800</xdr:rowOff>
    </xdr:from>
    <xdr:to>
      <xdr:col>12</xdr:col>
      <xdr:colOff>311150</xdr:colOff>
      <xdr:row>20</xdr:row>
      <xdr:rowOff>146050</xdr:rowOff>
    </xdr:to>
    <xdr:sp macro="" textlink="">
      <xdr:nvSpPr>
        <xdr:cNvPr id="57" name="TextBox 56">
          <a:extLst>
            <a:ext uri="{FF2B5EF4-FFF2-40B4-BE49-F238E27FC236}">
              <a16:creationId xmlns:a16="http://schemas.microsoft.com/office/drawing/2014/main" id="{09E23A2D-C8D4-4147-8466-D561B026CC6E}"/>
            </a:ext>
          </a:extLst>
        </xdr:cNvPr>
        <xdr:cNvSpPr txBox="1"/>
      </xdr:nvSpPr>
      <xdr:spPr>
        <a:xfrm>
          <a:off x="5695950" y="3549650"/>
          <a:ext cx="193040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EMPLOYEE COUNT</a:t>
          </a:r>
          <a:r>
            <a:rPr lang="en-IN" sz="900" b="1" baseline="0"/>
            <a:t> BY DEPARTMENT</a:t>
          </a:r>
          <a:endParaRPr lang="en-IN" sz="900" b="1"/>
        </a:p>
      </xdr:txBody>
    </xdr:sp>
    <xdr:clientData/>
  </xdr:twoCellAnchor>
  <xdr:twoCellAnchor>
    <xdr:from>
      <xdr:col>9</xdr:col>
      <xdr:colOff>228600</xdr:colOff>
      <xdr:row>20</xdr:row>
      <xdr:rowOff>158750</xdr:rowOff>
    </xdr:from>
    <xdr:to>
      <xdr:col>14</xdr:col>
      <xdr:colOff>546100</xdr:colOff>
      <xdr:row>27</xdr:row>
      <xdr:rowOff>165100</xdr:rowOff>
    </xdr:to>
    <xdr:graphicFrame macro="">
      <xdr:nvGraphicFramePr>
        <xdr:cNvPr id="58" name="Chart 57">
          <a:extLst>
            <a:ext uri="{FF2B5EF4-FFF2-40B4-BE49-F238E27FC236}">
              <a16:creationId xmlns:a16="http://schemas.microsoft.com/office/drawing/2014/main" id="{FD2204C6-8F83-47DA-BAD4-DD8103F20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xdr:col>
      <xdr:colOff>177800</xdr:colOff>
      <xdr:row>9</xdr:row>
      <xdr:rowOff>76200</xdr:rowOff>
    </xdr:from>
    <xdr:to>
      <xdr:col>3</xdr:col>
      <xdr:colOff>501650</xdr:colOff>
      <xdr:row>11</xdr:row>
      <xdr:rowOff>31750</xdr:rowOff>
    </xdr:to>
    <xdr:pic>
      <xdr:nvPicPr>
        <xdr:cNvPr id="60" name="Graphic 59" descr="Man with solid fill">
          <a:extLst>
            <a:ext uri="{FF2B5EF4-FFF2-40B4-BE49-F238E27FC236}">
              <a16:creationId xmlns:a16="http://schemas.microsoft.com/office/drawing/2014/main" id="{875CF06B-32E2-C4F9-5865-4EBBF9AB62D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06600" y="1733550"/>
          <a:ext cx="323850" cy="323850"/>
        </a:xfrm>
        <a:prstGeom prst="rect">
          <a:avLst/>
        </a:prstGeom>
      </xdr:spPr>
    </xdr:pic>
    <xdr:clientData/>
  </xdr:twoCellAnchor>
  <xdr:twoCellAnchor editAs="oneCell">
    <xdr:from>
      <xdr:col>7</xdr:col>
      <xdr:colOff>25400</xdr:colOff>
      <xdr:row>8</xdr:row>
      <xdr:rowOff>158750</xdr:rowOff>
    </xdr:from>
    <xdr:to>
      <xdr:col>7</xdr:col>
      <xdr:colOff>412750</xdr:colOff>
      <xdr:row>10</xdr:row>
      <xdr:rowOff>177800</xdr:rowOff>
    </xdr:to>
    <xdr:pic>
      <xdr:nvPicPr>
        <xdr:cNvPr id="62" name="Graphic 61" descr="Woman with solid fill">
          <a:extLst>
            <a:ext uri="{FF2B5EF4-FFF2-40B4-BE49-F238E27FC236}">
              <a16:creationId xmlns:a16="http://schemas.microsoft.com/office/drawing/2014/main" id="{3341088D-4D2B-35E6-1C75-43C1A3EBD7F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4292600" y="1631950"/>
          <a:ext cx="387350" cy="387350"/>
        </a:xfrm>
        <a:prstGeom prst="rect">
          <a:avLst/>
        </a:prstGeom>
      </xdr:spPr>
    </xdr:pic>
    <xdr:clientData/>
  </xdr:twoCellAnchor>
  <xdr:twoCellAnchor>
    <xdr:from>
      <xdr:col>3</xdr:col>
      <xdr:colOff>431800</xdr:colOff>
      <xdr:row>9</xdr:row>
      <xdr:rowOff>146050</xdr:rowOff>
    </xdr:from>
    <xdr:to>
      <xdr:col>4</xdr:col>
      <xdr:colOff>273050</xdr:colOff>
      <xdr:row>10</xdr:row>
      <xdr:rowOff>101600</xdr:rowOff>
    </xdr:to>
    <xdr:sp macro="" textlink="">
      <xdr:nvSpPr>
        <xdr:cNvPr id="63" name="TextBox 62">
          <a:extLst>
            <a:ext uri="{FF2B5EF4-FFF2-40B4-BE49-F238E27FC236}">
              <a16:creationId xmlns:a16="http://schemas.microsoft.com/office/drawing/2014/main" id="{A5861E10-5B19-8E0B-37F8-A86047AF54CA}"/>
            </a:ext>
          </a:extLst>
        </xdr:cNvPr>
        <xdr:cNvSpPr txBox="1"/>
      </xdr:nvSpPr>
      <xdr:spPr>
        <a:xfrm>
          <a:off x="2260600" y="1803400"/>
          <a:ext cx="450850" cy="139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tx2">
                  <a:lumMod val="50000"/>
                  <a:lumOff val="50000"/>
                </a:schemeClr>
              </a:solidFill>
            </a:rPr>
            <a:t>MALE</a:t>
          </a:r>
        </a:p>
        <a:p>
          <a:endParaRPr lang="en-IN" sz="800">
            <a:solidFill>
              <a:schemeClr val="tx2">
                <a:lumMod val="50000"/>
                <a:lumOff val="50000"/>
              </a:schemeClr>
            </a:solidFill>
          </a:endParaRPr>
        </a:p>
      </xdr:txBody>
    </xdr:sp>
    <xdr:clientData/>
  </xdr:twoCellAnchor>
  <xdr:twoCellAnchor>
    <xdr:from>
      <xdr:col>6</xdr:col>
      <xdr:colOff>184150</xdr:colOff>
      <xdr:row>9</xdr:row>
      <xdr:rowOff>114300</xdr:rowOff>
    </xdr:from>
    <xdr:to>
      <xdr:col>7</xdr:col>
      <xdr:colOff>88900</xdr:colOff>
      <xdr:row>11</xdr:row>
      <xdr:rowOff>0</xdr:rowOff>
    </xdr:to>
    <xdr:sp macro="" textlink="">
      <xdr:nvSpPr>
        <xdr:cNvPr id="64" name="TextBox 63">
          <a:extLst>
            <a:ext uri="{FF2B5EF4-FFF2-40B4-BE49-F238E27FC236}">
              <a16:creationId xmlns:a16="http://schemas.microsoft.com/office/drawing/2014/main" id="{151B7612-8DE1-DD63-9E50-8E7AAFDCB226}"/>
            </a:ext>
          </a:extLst>
        </xdr:cNvPr>
        <xdr:cNvSpPr txBox="1"/>
      </xdr:nvSpPr>
      <xdr:spPr>
        <a:xfrm>
          <a:off x="3841750" y="1771650"/>
          <a:ext cx="51435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2">
                  <a:lumMod val="40000"/>
                  <a:lumOff val="60000"/>
                </a:schemeClr>
              </a:solidFill>
            </a:rPr>
            <a:t>FEMALE</a:t>
          </a:r>
        </a:p>
      </xdr:txBody>
    </xdr:sp>
    <xdr:clientData/>
  </xdr:twoCellAnchor>
  <xdr:twoCellAnchor editAs="oneCell">
    <xdr:from>
      <xdr:col>9</xdr:col>
      <xdr:colOff>574201</xdr:colOff>
      <xdr:row>3</xdr:row>
      <xdr:rowOff>87820</xdr:rowOff>
    </xdr:from>
    <xdr:to>
      <xdr:col>14</xdr:col>
      <xdr:colOff>601223</xdr:colOff>
      <xdr:row>7</xdr:row>
      <xdr:rowOff>135107</xdr:rowOff>
    </xdr:to>
    <mc:AlternateContent xmlns:mc="http://schemas.openxmlformats.org/markup-compatibility/2006">
      <mc:Choice xmlns:a14="http://schemas.microsoft.com/office/drawing/2010/main" Requires="a14">
        <xdr:graphicFrame macro="">
          <xdr:nvGraphicFramePr>
            <xdr:cNvPr id="65" name="Business">
              <a:extLst>
                <a:ext uri="{FF2B5EF4-FFF2-40B4-BE49-F238E27FC236}">
                  <a16:creationId xmlns:a16="http://schemas.microsoft.com/office/drawing/2014/main" id="{2D4C8E70-A761-49E6-B52E-4CD4F73BC75E}"/>
                </a:ext>
              </a:extLst>
            </xdr:cNvPr>
            <xdr:cNvGraphicFramePr/>
          </xdr:nvGraphicFramePr>
          <xdr:xfrm>
            <a:off x="0" y="0"/>
            <a:ext cx="0" cy="0"/>
          </xdr:xfrm>
          <a:graphic>
            <a:graphicData uri="http://schemas.microsoft.com/office/drawing/2010/slicer">
              <sle:slicer xmlns:sle="http://schemas.microsoft.com/office/drawing/2010/slicer" name="Business"/>
            </a:graphicData>
          </a:graphic>
        </xdr:graphicFrame>
      </mc:Choice>
      <mc:Fallback>
        <xdr:sp macro="" textlink="">
          <xdr:nvSpPr>
            <xdr:cNvPr id="0" name=""/>
            <xdr:cNvSpPr>
              <a:spLocks noTextEdit="1"/>
            </xdr:cNvSpPr>
          </xdr:nvSpPr>
          <xdr:spPr>
            <a:xfrm>
              <a:off x="6046010" y="635001"/>
              <a:ext cx="3066915" cy="776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0.29808</cdr:x>
      <cdr:y>0.25</cdr:y>
    </cdr:from>
    <cdr:to>
      <cdr:x>0.67308</cdr:x>
      <cdr:y>0.67391</cdr:y>
    </cdr:to>
    <cdr:pic>
      <cdr:nvPicPr>
        <cdr:cNvPr id="2" name="Graphic 36" descr="Network with solid fill">
          <a:extLst xmlns:a="http://schemas.openxmlformats.org/drawingml/2006/main">
            <a:ext uri="{FF2B5EF4-FFF2-40B4-BE49-F238E27FC236}">
              <a16:creationId xmlns:a16="http://schemas.microsoft.com/office/drawing/2014/main" id="{144288A4-D3DD-10CB-D6AC-8EC62C55F29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96850" y="146050"/>
          <a:ext cx="247650" cy="247650"/>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YUSH\Downloads\Book1.xlsm" TargetMode="External"/><Relationship Id="rId1" Type="http://schemas.openxmlformats.org/officeDocument/2006/relationships/externalLinkPath" Target="Book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Sheet4"/>
      <sheetName val="Sheet2"/>
    </sheetNames>
    <sheetDataSet>
      <sheetData sheetId="0"/>
      <sheetData sheetId="1">
        <row r="16">
          <cell r="M16" t="str">
            <v>Alpha</v>
          </cell>
        </row>
      </sheetData>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GUPTA" refreshedDate="46057.982308333332" backgroundQuery="1" createdVersion="8" refreshedVersion="8" minRefreshableVersion="3" recordCount="0" supportSubquery="1" supportAdvancedDrill="1" xr:uid="{E5B43F92-5E34-470F-9581-F6A7FBBB177F}">
  <cacheSource type="external" connectionId="1"/>
  <cacheFields count="3">
    <cacheField name="[Table1].[Status].[Status]" caption="Status" numFmtId="0" hierarchy="11" level="1">
      <sharedItems count="2">
        <s v="Active"/>
        <s v="Inactive"/>
      </sharedItems>
    </cacheField>
    <cacheField name="[Measures].[Count of EEID]" caption="Count of EEID" numFmtId="0" hierarchy="16" level="32767"/>
    <cacheField name="[Table1].[Business].[Business]" caption="Business" numFmtId="0" hierarchy="6" level="1">
      <sharedItems containsSemiMixedTypes="0" containsNonDate="0" containsString="0"/>
    </cacheField>
  </cacheFields>
  <cacheHierarchies count="21">
    <cacheHierarchy uniqueName="[Table1].[EEID]" caption="EEID" attribute="1" defaultMemberUniqueName="[Table1].[EEID].[All]" allUniqueName="[Table1].[EEID].[All]" dimensionUniqueName="[Table1]" displayFolder="" count="2" memberValueDatatype="130" unbalanced="0"/>
    <cacheHierarchy uniqueName="[Table1].[Full]" caption="Full" attribute="1" defaultMemberUniqueName="[Table1].[Full].[All]" allUniqueName="[Table1].[Full].[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Job]" caption="Job" attribute="1" defaultMemberUniqueName="[Table1].[Job].[All]" allUniqueName="[Table1].[Job].[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Business]" caption="Business" attribute="1" defaultMemberUniqueName="[Table1].[Business].[All]" allUniqueName="[Table1].[Business].[All]" dimensionUniqueName="[Table1]" displayFolder="" count="2" memberValueDatatype="130" unbalanced="0">
      <fieldsUsage count="2">
        <fieldUsage x="-1"/>
        <fieldUsage x="2"/>
      </fieldsUsage>
    </cacheHierarchy>
    <cacheHierarchy uniqueName="[Table1].[Hire]" caption="Hire" attribute="1" time="1" defaultMemberUniqueName="[Table1].[Hire].[All]" allUniqueName="[Table1].[Hire].[All]" dimensionUniqueName="[Table1]" displayFolder="" count="2" memberValueDatatype="7" unbalanced="0"/>
    <cacheHierarchy uniqueName="[Table1].[Exit]" caption="Exit" attribute="1" time="1" defaultMemberUniqueName="[Table1].[Exit].[All]" allUniqueName="[Table1].[Exit].[All]" dimensionUniqueName="[Table1]" displayFolder="" count="2" memberValueDatatype="7" unbalanced="0"/>
    <cacheHierarchy uniqueName="[Table1].[Annual]" caption="Annual" attribute="1" defaultMemberUniqueName="[Table1].[Annual].[All]" allUniqueName="[Table1].[Annual].[All]" dimensionUniqueName="[Table1]" displayFolder="" count="2" memberValueDatatype="20" unbalanced="0"/>
    <cacheHierarchy uniqueName="[Table1].[Bonus]" caption="Bonus" attribute="1" defaultMemberUniqueName="[Table1].[Bonus].[All]" allUniqueName="[Table1].[Bonus].[All]" dimensionUniqueName="[Table1]" displayFolder="" count="2" memberValueDatatype="5"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EID]" caption="Count of 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nnual]" caption="Sum of Annual" measure="1" displayFolder="" measureGroup="Table1"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2"/>
        </ext>
      </extLst>
    </cacheHierarchy>
    <cacheHierarchy uniqueName="[Measures].[Average of year]" caption="Average of year" measure="1" displayFolder="" measureGroup="Table1" count="0" hidden="1">
      <extLst>
        <ext xmlns:x15="http://schemas.microsoft.com/office/spreadsheetml/2010/11/main" uri="{B97F6D7D-B522-45F9-BDA1-12C45D357490}">
          <x15:cacheHierarchy aggregatedColumn="12"/>
        </ext>
      </extLst>
    </cacheHierarchy>
    <cacheHierarchy uniqueName="[Measures].[Count of Exit]" caption="Count of Exit"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GUPTA" refreshedDate="46057.982309490741" backgroundQuery="1" createdVersion="8" refreshedVersion="8" minRefreshableVersion="3" recordCount="0" supportSubquery="1" supportAdvancedDrill="1" xr:uid="{3D44682F-A29A-4A92-9178-1D3D68CCF2E3}">
  <cacheSource type="external" connectionId="1"/>
  <cacheFields count="4">
    <cacheField name="[Table1].[Full].[Full]" caption="Full" numFmtId="0" hierarchy="1" level="1">
      <sharedItems count="10">
        <s v="Amos"/>
        <s v="Calvin"/>
        <s v="Enzo"/>
        <s v="Eston"/>
        <s v="Eve"/>
        <s v="lakai"/>
        <s v="Layne"/>
        <s v="lilah"/>
        <s v="Rebekah"/>
        <s v="Yareli"/>
      </sharedItems>
    </cacheField>
    <cacheField name="[Table1].[Status].[Status]" caption="Status" numFmtId="0" hierarchy="11" level="1">
      <sharedItems containsSemiMixedTypes="0" containsNonDate="0" containsString="0"/>
    </cacheField>
    <cacheField name="[Measures].[Sum of Annual]" caption="Sum of Annual" numFmtId="0" hierarchy="17" level="32767"/>
    <cacheField name="[Table1].[Business].[Business]" caption="Business" numFmtId="0" hierarchy="6" level="1">
      <sharedItems containsSemiMixedTypes="0" containsNonDate="0" containsString="0"/>
    </cacheField>
  </cacheFields>
  <cacheHierarchies count="21">
    <cacheHierarchy uniqueName="[Table1].[EEID]" caption="EEID" attribute="1" defaultMemberUniqueName="[Table1].[EEID].[All]" allUniqueName="[Table1].[EEID].[All]" dimensionUniqueName="[Table1]" displayFolder="" count="0" memberValueDatatype="130" unbalanced="0"/>
    <cacheHierarchy uniqueName="[Table1].[Full]" caption="Full" attribute="1" defaultMemberUniqueName="[Table1].[Full].[All]" allUniqueName="[Table1].[Full].[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Business]" caption="Business" attribute="1" defaultMemberUniqueName="[Table1].[Business].[All]" allUniqueName="[Table1].[Business].[All]" dimensionUniqueName="[Table1]" displayFolder="" count="2" memberValueDatatype="130" unbalanced="0">
      <fieldsUsage count="2">
        <fieldUsage x="-1"/>
        <fieldUsage x="3"/>
      </fieldsUsage>
    </cacheHierarchy>
    <cacheHierarchy uniqueName="[Table1].[Hire]" caption="Hire" attribute="1" time="1" defaultMemberUniqueName="[Table1].[Hire].[All]" allUniqueName="[Table1].[Hire].[All]" dimensionUniqueName="[Table1]" displayFolder="" count="0" memberValueDatatype="7" unbalanced="0"/>
    <cacheHierarchy uniqueName="[Table1].[Exit]" caption="Exit" attribute="1" time="1" defaultMemberUniqueName="[Table1].[Exit].[All]" allUniqueName="[Table1].[Exit].[All]" dimensionUniqueName="[Table1]" displayFolder="" count="0" memberValueDatatype="7" unbalanced="0"/>
    <cacheHierarchy uniqueName="[Table1].[Annual]" caption="Annual" attribute="1" defaultMemberUniqueName="[Table1].[Annual].[All]" allUniqueName="[Table1].[Annual].[All]" dimensionUniqueName="[Table1]" displayFolder="" count="0" memberValueDatatype="20" unbalanced="0"/>
    <cacheHierarchy uniqueName="[Table1].[Bonus]" caption="Bonus" attribute="1" defaultMemberUniqueName="[Table1].[Bonus].[All]" allUniqueName="[Table1].[Bonus].[All]" dimensionUniqueName="[Table1]" displayFolder="" count="0" memberValueDatatype="5"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EID]" caption="Count of EEID" measure="1" displayFolder="" measureGroup="Table1" count="0" hidden="1">
      <extLst>
        <ext xmlns:x15="http://schemas.microsoft.com/office/spreadsheetml/2010/11/main" uri="{B97F6D7D-B522-45F9-BDA1-12C45D357490}">
          <x15:cacheHierarchy aggregatedColumn="0"/>
        </ext>
      </extLst>
    </cacheHierarchy>
    <cacheHierarchy uniqueName="[Measures].[Sum of Annual]" caption="Sum of Annual"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2"/>
        </ext>
      </extLst>
    </cacheHierarchy>
    <cacheHierarchy uniqueName="[Measures].[Average of year]" caption="Average of year" measure="1" displayFolder="" measureGroup="Table1" count="0" hidden="1">
      <extLst>
        <ext xmlns:x15="http://schemas.microsoft.com/office/spreadsheetml/2010/11/main" uri="{B97F6D7D-B522-45F9-BDA1-12C45D357490}">
          <x15:cacheHierarchy aggregatedColumn="12"/>
        </ext>
      </extLst>
    </cacheHierarchy>
    <cacheHierarchy uniqueName="[Measures].[Count of Exit]" caption="Count of Exit"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GUPTA" refreshedDate="46057.982310069441" backgroundQuery="1" createdVersion="8" refreshedVersion="8" minRefreshableVersion="3" recordCount="0" supportSubquery="1" supportAdvancedDrill="1" xr:uid="{BC287190-2E6C-4A5D-8555-6BEC27D10789}">
  <cacheSource type="external" connectionId="1"/>
  <cacheFields count="5">
    <cacheField name="[Measures].[Count of EEID]" caption="Count of EEID" numFmtId="0" hierarchy="16" level="32767"/>
    <cacheField name="[Table1].[Gender].[Gender]" caption="Gender" numFmtId="0" hierarchy="2" level="1">
      <sharedItems count="2">
        <s v="Female"/>
        <s v="Male"/>
      </sharedItems>
    </cacheField>
    <cacheField name="[Table1].[Status].[Status]" caption="Status" numFmtId="0" hierarchy="11" level="1">
      <sharedItems containsSemiMixedTypes="0" containsNonDate="0" containsString="0"/>
    </cacheField>
    <cacheField name="[Table1].[Age group].[Age group]" caption="Age group" numFmtId="0" hierarchy="13" level="1">
      <sharedItems count="6">
        <s v="26–30"/>
        <s v="31–35"/>
        <s v="36–40"/>
        <s v="41–45"/>
        <s v="46–50"/>
        <s v="51–60"/>
      </sharedItems>
    </cacheField>
    <cacheField name="[Table1].[Business].[Business]" caption="Business" numFmtId="0" hierarchy="6" level="1">
      <sharedItems containsSemiMixedTypes="0" containsNonDate="0" containsString="0"/>
    </cacheField>
  </cacheFields>
  <cacheHierarchies count="21">
    <cacheHierarchy uniqueName="[Table1].[EEID]" caption="EEID" attribute="1" defaultMemberUniqueName="[Table1].[EEID].[All]" allUniqueName="[Table1].[EEID].[All]" dimensionUniqueName="[Table1]" displayFolder="" count="0" memberValueDatatype="130" unbalanced="0"/>
    <cacheHierarchy uniqueName="[Table1].[Full]" caption="Full" attribute="1" defaultMemberUniqueName="[Table1].[Full].[All]" allUniqueName="[Table1].[Full].[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Business]" caption="Business" attribute="1" defaultMemberUniqueName="[Table1].[Business].[All]" allUniqueName="[Table1].[Business].[All]" dimensionUniqueName="[Table1]" displayFolder="" count="2" memberValueDatatype="130" unbalanced="0">
      <fieldsUsage count="2">
        <fieldUsage x="-1"/>
        <fieldUsage x="4"/>
      </fieldsUsage>
    </cacheHierarchy>
    <cacheHierarchy uniqueName="[Table1].[Hire]" caption="Hire" attribute="1" time="1" defaultMemberUniqueName="[Table1].[Hire].[All]" allUniqueName="[Table1].[Hire].[All]" dimensionUniqueName="[Table1]" displayFolder="" count="0" memberValueDatatype="7" unbalanced="0"/>
    <cacheHierarchy uniqueName="[Table1].[Exit]" caption="Exit" attribute="1" time="1" defaultMemberUniqueName="[Table1].[Exit].[All]" allUniqueName="[Table1].[Exit].[All]" dimensionUniqueName="[Table1]" displayFolder="" count="0" memberValueDatatype="7" unbalanced="0"/>
    <cacheHierarchy uniqueName="[Table1].[Annual]" caption="Annual" attribute="1" defaultMemberUniqueName="[Table1].[Annual].[All]" allUniqueName="[Table1].[Annual].[All]" dimensionUniqueName="[Table1]" displayFolder="" count="0" memberValueDatatype="20" unbalanced="0"/>
    <cacheHierarchy uniqueName="[Table1].[Bonus]" caption="Bonus" attribute="1" defaultMemberUniqueName="[Table1].[Bonus].[All]" allUniqueName="[Table1].[Bonus].[All]" dimensionUniqueName="[Table1]" displayFolder="" count="0" memberValueDatatype="5"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year]" caption="year" attribute="1" defaultMemberUniqueName="[Table1].[year].[All]" allUniqueName="[Table1].[year].[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EID]" caption="Count of EE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 caption="Sum of Annual" measure="1" displayFolder="" measureGroup="Table1"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2"/>
        </ext>
      </extLst>
    </cacheHierarchy>
    <cacheHierarchy uniqueName="[Measures].[Average of year]" caption="Average of year" measure="1" displayFolder="" measureGroup="Table1" count="0" hidden="1">
      <extLst>
        <ext xmlns:x15="http://schemas.microsoft.com/office/spreadsheetml/2010/11/main" uri="{B97F6D7D-B522-45F9-BDA1-12C45D357490}">
          <x15:cacheHierarchy aggregatedColumn="12"/>
        </ext>
      </extLst>
    </cacheHierarchy>
    <cacheHierarchy uniqueName="[Measures].[Count of Exit]" caption="Count of Exit"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GUPTA" refreshedDate="46057.982310648149" backgroundQuery="1" createdVersion="8" refreshedVersion="8" minRefreshableVersion="3" recordCount="0" supportSubquery="1" supportAdvancedDrill="1" xr:uid="{06A8180F-9E3F-44B3-8B5B-BE8D69CD4D38}">
  <cacheSource type="external" connectionId="1"/>
  <cacheFields count="4">
    <cacheField name="[Measures].[Count of EEID]" caption="Count of EEID" numFmtId="0" hierarchy="16" level="32767"/>
    <cacheField name="[Table1].[Department].[Department]" caption="Department" numFmtId="0" hierarchy="5" level="1">
      <sharedItems count="6">
        <s v="Accounting"/>
        <s v="Engineering"/>
        <s v="Finance"/>
        <s v="IT"/>
        <s v="Marketing"/>
        <s v="Sales"/>
      </sharedItems>
    </cacheField>
    <cacheField name="[Table1].[Status].[Status]" caption="Status" numFmtId="0" hierarchy="11" level="1">
      <sharedItems containsSemiMixedTypes="0" containsNonDate="0" containsString="0"/>
    </cacheField>
    <cacheField name="[Table1].[Business].[Business]" caption="Business" numFmtId="0" hierarchy="6" level="1">
      <sharedItems containsSemiMixedTypes="0" containsNonDate="0" containsString="0"/>
    </cacheField>
  </cacheFields>
  <cacheHierarchies count="21">
    <cacheHierarchy uniqueName="[Table1].[EEID]" caption="EEID" attribute="1" defaultMemberUniqueName="[Table1].[EEID].[All]" allUniqueName="[Table1].[EEID].[All]" dimensionUniqueName="[Table1]" displayFolder="" count="0" memberValueDatatype="130" unbalanced="0"/>
    <cacheHierarchy uniqueName="[Table1].[Full]" caption="Full" attribute="1" defaultMemberUniqueName="[Table1].[Full].[All]" allUniqueName="[Table1].[Full].[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Business]" caption="Business" attribute="1" defaultMemberUniqueName="[Table1].[Business].[All]" allUniqueName="[Table1].[Business].[All]" dimensionUniqueName="[Table1]" displayFolder="" count="2" memberValueDatatype="130" unbalanced="0">
      <fieldsUsage count="2">
        <fieldUsage x="-1"/>
        <fieldUsage x="3"/>
      </fieldsUsage>
    </cacheHierarchy>
    <cacheHierarchy uniqueName="[Table1].[Hire]" caption="Hire" attribute="1" time="1" defaultMemberUniqueName="[Table1].[Hire].[All]" allUniqueName="[Table1].[Hire].[All]" dimensionUniqueName="[Table1]" displayFolder="" count="0" memberValueDatatype="7" unbalanced="0"/>
    <cacheHierarchy uniqueName="[Table1].[Exit]" caption="Exit" attribute="1" time="1" defaultMemberUniqueName="[Table1].[Exit].[All]" allUniqueName="[Table1].[Exit].[All]" dimensionUniqueName="[Table1]" displayFolder="" count="0" memberValueDatatype="7" unbalanced="0"/>
    <cacheHierarchy uniqueName="[Table1].[Annual]" caption="Annual" attribute="1" defaultMemberUniqueName="[Table1].[Annual].[All]" allUniqueName="[Table1].[Annual].[All]" dimensionUniqueName="[Table1]" displayFolder="" count="0" memberValueDatatype="20" unbalanced="0"/>
    <cacheHierarchy uniqueName="[Table1].[Bonus]" caption="Bonus" attribute="1" defaultMemberUniqueName="[Table1].[Bonus].[All]" allUniqueName="[Table1].[Bonus].[All]" dimensionUniqueName="[Table1]" displayFolder="" count="0" memberValueDatatype="5"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year]" caption="year" attribute="1" defaultMemberUniqueName="[Table1].[year].[All]" allUniqueName="[Table1].[year].[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EID]" caption="Count of EE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 caption="Sum of Annual" measure="1" displayFolder="" measureGroup="Table1"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2"/>
        </ext>
      </extLst>
    </cacheHierarchy>
    <cacheHierarchy uniqueName="[Measures].[Average of year]" caption="Average of year" measure="1" displayFolder="" measureGroup="Table1" count="0" hidden="1">
      <extLst>
        <ext xmlns:x15="http://schemas.microsoft.com/office/spreadsheetml/2010/11/main" uri="{B97F6D7D-B522-45F9-BDA1-12C45D357490}">
          <x15:cacheHierarchy aggregatedColumn="12"/>
        </ext>
      </extLst>
    </cacheHierarchy>
    <cacheHierarchy uniqueName="[Measures].[Count of Exit]" caption="Count of Exit"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GUPTA" refreshedDate="46057.982311111111" backgroundQuery="1" createdVersion="8" refreshedVersion="8" minRefreshableVersion="3" recordCount="0" supportSubquery="1" supportAdvancedDrill="1" xr:uid="{F264D211-0E59-4698-9542-ECE5F94310E2}">
  <cacheSource type="external" connectionId="1"/>
  <cacheFields count="4">
    <cacheField name="[Table1].[Job].[Job]" caption="Job" numFmtId="0" hierarchy="4" level="1">
      <sharedItems count="10">
        <s v=" Dev Eng"/>
        <s v="Auto Eng"/>
        <s v="Field Eng"/>
        <s v="IT Coord"/>
        <s v="Net Admin"/>
        <s v="Ops Eng"/>
        <s v="Quality Eng"/>
        <s v="Sr. Acc Rep"/>
        <s v="Sr. Analyst"/>
        <s v="Sr. Manger"/>
      </sharedItems>
    </cacheField>
    <cacheField name="[Table1].[Gender].[Gender]" caption="Gender" numFmtId="0" hierarchy="2" level="1">
      <sharedItems count="2">
        <s v="Female"/>
        <s v="Male"/>
      </sharedItems>
    </cacheField>
    <cacheField name="[Measures].[Average of year]" caption="Average of year" numFmtId="0" hierarchy="19" level="32767"/>
    <cacheField name="[Table1].[Business].[Business]" caption="Business" numFmtId="0" hierarchy="6" level="1">
      <sharedItems containsSemiMixedTypes="0" containsNonDate="0" containsString="0"/>
    </cacheField>
  </cacheFields>
  <cacheHierarchies count="21">
    <cacheHierarchy uniqueName="[Table1].[EEID]" caption="EEID" attribute="1" defaultMemberUniqueName="[Table1].[EEID].[All]" allUniqueName="[Table1].[EEID].[All]" dimensionUniqueName="[Table1]" displayFolder="" count="0" memberValueDatatype="130" unbalanced="0"/>
    <cacheHierarchy uniqueName="[Table1].[Full]" caption="Full" attribute="1" defaultMemberUniqueName="[Table1].[Full].[All]" allUniqueName="[Table1].[Full].[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Department]" caption="Department" attribute="1" defaultMemberUniqueName="[Table1].[Department].[All]" allUniqueName="[Table1].[Department].[All]" dimensionUniqueName="[Table1]" displayFolder="" count="0" memberValueDatatype="130" unbalanced="0"/>
    <cacheHierarchy uniqueName="[Table1].[Business]" caption="Business" attribute="1" defaultMemberUniqueName="[Table1].[Business].[All]" allUniqueName="[Table1].[Business].[All]" dimensionUniqueName="[Table1]" displayFolder="" count="2" memberValueDatatype="130" unbalanced="0">
      <fieldsUsage count="2">
        <fieldUsage x="-1"/>
        <fieldUsage x="3"/>
      </fieldsUsage>
    </cacheHierarchy>
    <cacheHierarchy uniqueName="[Table1].[Hire]" caption="Hire" attribute="1" time="1" defaultMemberUniqueName="[Table1].[Hire].[All]" allUniqueName="[Table1].[Hire].[All]" dimensionUniqueName="[Table1]" displayFolder="" count="0" memberValueDatatype="7" unbalanced="0"/>
    <cacheHierarchy uniqueName="[Table1].[Exit]" caption="Exit" attribute="1" time="1" defaultMemberUniqueName="[Table1].[Exit].[All]" allUniqueName="[Table1].[Exit].[All]" dimensionUniqueName="[Table1]" displayFolder="" count="0" memberValueDatatype="7" unbalanced="0"/>
    <cacheHierarchy uniqueName="[Table1].[Annual]" caption="Annual" attribute="1" defaultMemberUniqueName="[Table1].[Annual].[All]" allUniqueName="[Table1].[Annual].[All]" dimensionUniqueName="[Table1]" displayFolder="" count="0" memberValueDatatype="20" unbalanced="0"/>
    <cacheHierarchy uniqueName="[Table1].[Bonus]" caption="Bonus" attribute="1" defaultMemberUniqueName="[Table1].[Bonus].[All]" allUniqueName="[Table1].[Bonus].[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EID]" caption="Count of EEID" measure="1" displayFolder="" measureGroup="Table1" count="0" hidden="1">
      <extLst>
        <ext xmlns:x15="http://schemas.microsoft.com/office/spreadsheetml/2010/11/main" uri="{B97F6D7D-B522-45F9-BDA1-12C45D357490}">
          <x15:cacheHierarchy aggregatedColumn="0"/>
        </ext>
      </extLst>
    </cacheHierarchy>
    <cacheHierarchy uniqueName="[Measures].[Sum of Annual]" caption="Sum of Annual" measure="1" displayFolder="" measureGroup="Table1"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2"/>
        </ext>
      </extLst>
    </cacheHierarchy>
    <cacheHierarchy uniqueName="[Measures].[Average of year]" caption="Average of year"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Exit]" caption="Count of Exit"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GUPTA" refreshedDate="46057.982311805557" backgroundQuery="1" createdVersion="8" refreshedVersion="8" minRefreshableVersion="3" recordCount="0" supportSubquery="1" supportAdvancedDrill="1" xr:uid="{38988185-B61C-4C08-9DA3-CA9D8AD897E9}">
  <cacheSource type="external" connectionId="1"/>
  <cacheFields count="4">
    <cacheField name="[Table1].[Age group].[Age group]" caption="Age group" numFmtId="0" hierarchy="13" level="1">
      <sharedItems count="6">
        <s v="26–30"/>
        <s v="31–35"/>
        <s v="36–40"/>
        <s v="41–45"/>
        <s v="46–50"/>
        <s v="51–60"/>
      </sharedItems>
    </cacheField>
    <cacheField name="[Measures].[Count of Exit]" caption="Count of Exit" numFmtId="0" hierarchy="20" level="32767"/>
    <cacheField name="[Table1].[Gender].[Gender]" caption="Gender" numFmtId="0" hierarchy="2" level="1">
      <sharedItems count="2">
        <s v="Female"/>
        <s v="Male"/>
      </sharedItems>
    </cacheField>
    <cacheField name="[Table1].[Business].[Business]" caption="Business" numFmtId="0" hierarchy="6" level="1">
      <sharedItems containsSemiMixedTypes="0" containsNonDate="0" containsString="0"/>
    </cacheField>
  </cacheFields>
  <cacheHierarchies count="21">
    <cacheHierarchy uniqueName="[Table1].[EEID]" caption="EEID" attribute="1" defaultMemberUniqueName="[Table1].[EEID].[All]" allUniqueName="[Table1].[EEID].[All]" dimensionUniqueName="[Table1]" displayFolder="" count="0" memberValueDatatype="130" unbalanced="0"/>
    <cacheHierarchy uniqueName="[Table1].[Full]" caption="Full" attribute="1" defaultMemberUniqueName="[Table1].[Full].[All]" allUniqueName="[Table1].[Full].[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Business]" caption="Business" attribute="1" defaultMemberUniqueName="[Table1].[Business].[All]" allUniqueName="[Table1].[Business].[All]" dimensionUniqueName="[Table1]" displayFolder="" count="2" memberValueDatatype="130" unbalanced="0">
      <fieldsUsage count="2">
        <fieldUsage x="-1"/>
        <fieldUsage x="3"/>
      </fieldsUsage>
    </cacheHierarchy>
    <cacheHierarchy uniqueName="[Table1].[Hire]" caption="Hire" attribute="1" time="1" defaultMemberUniqueName="[Table1].[Hire].[All]" allUniqueName="[Table1].[Hire].[All]" dimensionUniqueName="[Table1]" displayFolder="" count="0" memberValueDatatype="7" unbalanced="0"/>
    <cacheHierarchy uniqueName="[Table1].[Exit]" caption="Exit" attribute="1" time="1" defaultMemberUniqueName="[Table1].[Exit].[All]" allUniqueName="[Table1].[Exit].[All]" dimensionUniqueName="[Table1]" displayFolder="" count="0" memberValueDatatype="7" unbalanced="0"/>
    <cacheHierarchy uniqueName="[Table1].[Annual]" caption="Annual" attribute="1" defaultMemberUniqueName="[Table1].[Annual].[All]" allUniqueName="[Table1].[Annual].[All]" dimensionUniqueName="[Table1]" displayFolder="" count="0" memberValueDatatype="20" unbalanced="0"/>
    <cacheHierarchy uniqueName="[Table1].[Bonus]" caption="Bonus" attribute="1" defaultMemberUniqueName="[Table1].[Bonus].[All]" allUniqueName="[Table1].[Bonus].[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EID]" caption="Count of EEID" measure="1" displayFolder="" measureGroup="Table1" count="0" hidden="1">
      <extLst>
        <ext xmlns:x15="http://schemas.microsoft.com/office/spreadsheetml/2010/11/main" uri="{B97F6D7D-B522-45F9-BDA1-12C45D357490}">
          <x15:cacheHierarchy aggregatedColumn="0"/>
        </ext>
      </extLst>
    </cacheHierarchy>
    <cacheHierarchy uniqueName="[Measures].[Sum of Annual]" caption="Sum of Annual" measure="1" displayFolder="" measureGroup="Table1"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2"/>
        </ext>
      </extLst>
    </cacheHierarchy>
    <cacheHierarchy uniqueName="[Measures].[Average of year]" caption="Average of year" measure="1" displayFolder="" measureGroup="Table1" count="0" hidden="1">
      <extLst>
        <ext xmlns:x15="http://schemas.microsoft.com/office/spreadsheetml/2010/11/main" uri="{B97F6D7D-B522-45F9-BDA1-12C45D357490}">
          <x15:cacheHierarchy aggregatedColumn="12"/>
        </ext>
      </extLst>
    </cacheHierarchy>
    <cacheHierarchy uniqueName="[Measures].[Count of Exit]" caption="Count of Exi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GUPTA" refreshedDate="46057.982312499997" backgroundQuery="1" createdVersion="8" refreshedVersion="8" minRefreshableVersion="3" recordCount="0" supportSubquery="1" supportAdvancedDrill="1" xr:uid="{32E2DE13-1264-4C03-AFE2-B9B1CCBCF6E1}">
  <cacheSource type="external" connectionId="1"/>
  <cacheFields count="4">
    <cacheField name="[Table1].[Department].[Department]" caption="Department" numFmtId="0" hierarchy="5" level="1">
      <sharedItems count="6">
        <s v="Accounting"/>
        <s v="Engineering"/>
        <s v="Finance"/>
        <s v="IT"/>
        <s v="Marketing"/>
        <s v="Sales"/>
      </sharedItems>
    </cacheField>
    <cacheField name="[Table1].[Gender].[Gender]" caption="Gender" numFmtId="0" hierarchy="2" level="1">
      <sharedItems count="2">
        <s v="Female"/>
        <s v="Male"/>
      </sharedItems>
    </cacheField>
    <cacheField name="[Measures].[Count of Exit]" caption="Count of Exit" numFmtId="0" hierarchy="20" level="32767"/>
    <cacheField name="[Table1].[Business].[Business]" caption="Business" numFmtId="0" hierarchy="6" level="1">
      <sharedItems containsSemiMixedTypes="0" containsNonDate="0" containsString="0"/>
    </cacheField>
  </cacheFields>
  <cacheHierarchies count="21">
    <cacheHierarchy uniqueName="[Table1].[EEID]" caption="EEID" attribute="1" defaultMemberUniqueName="[Table1].[EEID].[All]" allUniqueName="[Table1].[EEID].[All]" dimensionUniqueName="[Table1]" displayFolder="" count="0" memberValueDatatype="130" unbalanced="0"/>
    <cacheHierarchy uniqueName="[Table1].[Full]" caption="Full" attribute="1" defaultMemberUniqueName="[Table1].[Full].[All]" allUniqueName="[Table1].[Full].[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Business]" caption="Business" attribute="1" defaultMemberUniqueName="[Table1].[Business].[All]" allUniqueName="[Table1].[Business].[All]" dimensionUniqueName="[Table1]" displayFolder="" count="2" memberValueDatatype="130" unbalanced="0">
      <fieldsUsage count="2">
        <fieldUsage x="-1"/>
        <fieldUsage x="3"/>
      </fieldsUsage>
    </cacheHierarchy>
    <cacheHierarchy uniqueName="[Table1].[Hire]" caption="Hire" attribute="1" time="1" defaultMemberUniqueName="[Table1].[Hire].[All]" allUniqueName="[Table1].[Hire].[All]" dimensionUniqueName="[Table1]" displayFolder="" count="0" memberValueDatatype="7" unbalanced="0"/>
    <cacheHierarchy uniqueName="[Table1].[Exit]" caption="Exit" attribute="1" time="1" defaultMemberUniqueName="[Table1].[Exit].[All]" allUniqueName="[Table1].[Exit].[All]" dimensionUniqueName="[Table1]" displayFolder="" count="0" memberValueDatatype="7" unbalanced="0"/>
    <cacheHierarchy uniqueName="[Table1].[Annual]" caption="Annual" attribute="1" defaultMemberUniqueName="[Table1].[Annual].[All]" allUniqueName="[Table1].[Annual].[All]" dimensionUniqueName="[Table1]" displayFolder="" count="0" memberValueDatatype="20" unbalanced="0"/>
    <cacheHierarchy uniqueName="[Table1].[Bonus]" caption="Bonus" attribute="1" defaultMemberUniqueName="[Table1].[Bonus].[All]" allUniqueName="[Table1].[Bonus].[All]" dimensionUniqueName="[Table1]" displayFolder="" count="0" memberValueDatatype="5" unbalanced="0"/>
    <cacheHierarchy uniqueName="[Table1].[Status]" caption="Status" attribute="1" defaultMemberUniqueName="[Table1].[Status].[All]" allUniqueName="[Table1].[Status].[All]" dimensionUniqueName="[Table1]"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EID]" caption="Count of EEID" measure="1" displayFolder="" measureGroup="Table1" count="0" hidden="1">
      <extLst>
        <ext xmlns:x15="http://schemas.microsoft.com/office/spreadsheetml/2010/11/main" uri="{B97F6D7D-B522-45F9-BDA1-12C45D357490}">
          <x15:cacheHierarchy aggregatedColumn="0"/>
        </ext>
      </extLst>
    </cacheHierarchy>
    <cacheHierarchy uniqueName="[Measures].[Sum of Annual]" caption="Sum of Annual" measure="1" displayFolder="" measureGroup="Table1"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2"/>
        </ext>
      </extLst>
    </cacheHierarchy>
    <cacheHierarchy uniqueName="[Measures].[Average of year]" caption="Average of year" measure="1" displayFolder="" measureGroup="Table1" count="0" hidden="1">
      <extLst>
        <ext xmlns:x15="http://schemas.microsoft.com/office/spreadsheetml/2010/11/main" uri="{B97F6D7D-B522-45F9-BDA1-12C45D357490}">
          <x15:cacheHierarchy aggregatedColumn="12"/>
        </ext>
      </extLst>
    </cacheHierarchy>
    <cacheHierarchy uniqueName="[Measures].[Count of Exit]" caption="Count of Exi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I GUPTA" refreshedDate="46057.974580092596" backgroundQuery="1" createdVersion="3" refreshedVersion="8" minRefreshableVersion="3" recordCount="0" supportSubquery="1" supportAdvancedDrill="1" xr:uid="{1B0CE7F2-BC12-4FC2-BB69-3B1AE4F08608}">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EEID]" caption="EEID" attribute="1" defaultMemberUniqueName="[Table1].[EEID].[All]" allUniqueName="[Table1].[EEID].[All]" dimensionUniqueName="[Table1]" displayFolder="" count="0" memberValueDatatype="130" unbalanced="0"/>
    <cacheHierarchy uniqueName="[Table1].[Full]" caption="Full" attribute="1" defaultMemberUniqueName="[Table1].[Full].[All]" allUniqueName="[Table1].[Full].[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Business]" caption="Business" attribute="1" defaultMemberUniqueName="[Table1].[Business].[All]" allUniqueName="[Table1].[Business].[All]" dimensionUniqueName="[Table1]" displayFolder="" count="2" memberValueDatatype="130" unbalanced="0"/>
    <cacheHierarchy uniqueName="[Table1].[Hire]" caption="Hire" attribute="1" time="1" defaultMemberUniqueName="[Table1].[Hire].[All]" allUniqueName="[Table1].[Hire].[All]" dimensionUniqueName="[Table1]" displayFolder="" count="0" memberValueDatatype="7" unbalanced="0"/>
    <cacheHierarchy uniqueName="[Table1].[Exit]" caption="Exit" attribute="1" time="1" defaultMemberUniqueName="[Table1].[Exit].[All]" allUniqueName="[Table1].[Exit].[All]" dimensionUniqueName="[Table1]" displayFolder="" count="0" memberValueDatatype="7" unbalanced="0"/>
    <cacheHierarchy uniqueName="[Table1].[Annual]" caption="Annual" attribute="1" defaultMemberUniqueName="[Table1].[Annual].[All]" allUniqueName="[Table1].[Annual].[All]" dimensionUniqueName="[Table1]" displayFolder="" count="0" memberValueDatatype="20" unbalanced="0"/>
    <cacheHierarchy uniqueName="[Table1].[Bonus]" caption="Bonus" attribute="1" defaultMemberUniqueName="[Table1].[Bonus].[All]" allUniqueName="[Table1].[Bonus].[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EID]" caption="Count of EEID" measure="1" displayFolder="" measureGroup="Table1" count="0" hidden="1">
      <extLst>
        <ext xmlns:x15="http://schemas.microsoft.com/office/spreadsheetml/2010/11/main" uri="{B97F6D7D-B522-45F9-BDA1-12C45D357490}">
          <x15:cacheHierarchy aggregatedColumn="0"/>
        </ext>
      </extLst>
    </cacheHierarchy>
    <cacheHierarchy uniqueName="[Measures].[Sum of Annual]" caption="Sum of Annual" measure="1" displayFolder="" measureGroup="Table1"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2"/>
        </ext>
      </extLst>
    </cacheHierarchy>
    <cacheHierarchy uniqueName="[Measures].[Average of year]" caption="Average of year" measure="1" displayFolder="" measureGroup="Table1" count="0" hidden="1">
      <extLst>
        <ext xmlns:x15="http://schemas.microsoft.com/office/spreadsheetml/2010/11/main" uri="{B97F6D7D-B522-45F9-BDA1-12C45D357490}">
          <x15:cacheHierarchy aggregatedColumn="12"/>
        </ext>
      </extLst>
    </cacheHierarchy>
    <cacheHierarchy uniqueName="[Measures].[Count of Exit]" caption="Count of Exit"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3415037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5B4A70-D553-41C9-997B-2626108E1722}" name="PivotTable7" cacheId="47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Y3:AA10"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1"/>
  </colFields>
  <colItems count="2">
    <i>
      <x/>
    </i>
    <i>
      <x v="1"/>
    </i>
  </colItems>
  <dataFields count="1">
    <dataField name="Count of Exit" fld="2" subtotal="count" baseField="0" baseItem="0"/>
  </dataFields>
  <chartFormats count="9">
    <chartFormat chart="7" format="5" series="1">
      <pivotArea type="data" outline="0" fieldPosition="0">
        <references count="2">
          <reference field="4294967294" count="1" selected="0">
            <x v="0"/>
          </reference>
          <reference field="1" count="1" selected="0">
            <x v="0"/>
          </reference>
        </references>
      </pivotArea>
    </chartFormat>
    <chartFormat chart="7" format="6" series="1">
      <pivotArea type="data" outline="0" fieldPosition="0">
        <references count="2">
          <reference field="4294967294" count="1" selected="0">
            <x v="0"/>
          </reference>
          <reference field="1" count="1" selected="0">
            <x v="1"/>
          </reference>
        </references>
      </pivotArea>
    </chartFormat>
    <chartFormat chart="7" format="7">
      <pivotArea type="data" outline="0" fieldPosition="0">
        <references count="3">
          <reference field="4294967294" count="1" selected="0">
            <x v="0"/>
          </reference>
          <reference field="0" count="1" selected="0">
            <x v="3"/>
          </reference>
          <reference field="1" count="1" selected="0">
            <x v="1"/>
          </reference>
        </references>
      </pivotArea>
    </chartFormat>
    <chartFormat chart="7" format="8">
      <pivotArea type="data" outline="0" fieldPosition="0">
        <references count="3">
          <reference field="4294967294" count="1" selected="0">
            <x v="0"/>
          </reference>
          <reference field="0" count="1" selected="0">
            <x v="0"/>
          </reference>
          <reference field="1" count="1" selected="0">
            <x v="1"/>
          </reference>
        </references>
      </pivotArea>
    </chartFormat>
    <chartFormat chart="7" format="9">
      <pivotArea type="data" outline="0" fieldPosition="0">
        <references count="3">
          <reference field="4294967294" count="1" selected="0">
            <x v="0"/>
          </reference>
          <reference field="0" count="1" selected="0">
            <x v="1"/>
          </reference>
          <reference field="1" count="1" selected="0">
            <x v="0"/>
          </reference>
        </references>
      </pivotArea>
    </chartFormat>
    <chartFormat chart="7" format="10">
      <pivotArea type="data" outline="0" fieldPosition="0">
        <references count="3">
          <reference field="4294967294" count="1" selected="0">
            <x v="0"/>
          </reference>
          <reference field="0" count="1" selected="0">
            <x v="1"/>
          </reference>
          <reference field="1" count="1" selected="0">
            <x v="1"/>
          </reference>
        </references>
      </pivotArea>
    </chartFormat>
    <chartFormat chart="7" format="11">
      <pivotArea type="data" outline="0" fieldPosition="0">
        <references count="3">
          <reference field="4294967294" count="1" selected="0">
            <x v="0"/>
          </reference>
          <reference field="0" count="1" selected="0">
            <x v="2"/>
          </reference>
          <reference field="1" count="1" selected="0">
            <x v="1"/>
          </reference>
        </references>
      </pivotArea>
    </chartFormat>
    <chartFormat chart="7" format="12">
      <pivotArea type="data" outline="0" fieldPosition="0">
        <references count="3">
          <reference field="4294967294" count="1" selected="0">
            <x v="0"/>
          </reference>
          <reference field="0" count="1" selected="0">
            <x v="4"/>
          </reference>
          <reference field="1" count="1" selected="0">
            <x v="1"/>
          </reference>
        </references>
      </pivotArea>
    </chartFormat>
    <chartFormat chart="7" format="13">
      <pivotArea type="data" outline="0" fieldPosition="0">
        <references count="3">
          <reference field="4294967294" count="1" selected="0">
            <x v="0"/>
          </reference>
          <reference field="0" count="1" selected="0">
            <x v="5"/>
          </reference>
          <reference field="1"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Workforc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67B3F7-5594-465C-844A-889DE3A08904}" name="PivotTable6" cacheId="4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U3:W10" firstHeaderRow="1" firstDataRow="2"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x v="1"/>
    </i>
  </colItems>
  <dataFields count="1">
    <dataField name="Count of Exit" fld="1" subtotal="count" baseField="0" baseItem="0"/>
  </dataFields>
  <chartFormats count="4">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Workforc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305E1C-9464-4AFF-BD67-8E5965DEBB9C}" name="PivotTable5" cacheId="4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Q4:S15"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1"/>
  </colFields>
  <colItems count="2">
    <i>
      <x/>
    </i>
    <i>
      <x v="1"/>
    </i>
  </colItems>
  <dataFields count="1">
    <dataField name="Average of year" fld="2" subtotal="average" baseField="0" baseItem="0" numFmtId="175"/>
  </dataFields>
  <formats count="1">
    <format dxfId="4">
      <pivotArea outline="0" collapsedLevelsAreSubtotals="1" fieldPosition="0"/>
    </format>
  </formats>
  <chartFormats count="3">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3">
          <reference field="4294967294" count="1" selected="0">
            <x v="0"/>
          </reference>
          <reference field="0" count="1" selected="0">
            <x v="9"/>
          </reference>
          <reference field="1"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year"/>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Workforc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7755CF-48AA-4976-B45E-4451FF7D574A}" name="PivotTable4" cacheId="4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O11"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pageFields count="1">
    <pageField fld="2" hier="11" name="[Table1].[Status].&amp;[Active]" cap="Active"/>
  </pageFields>
  <dataFields count="1">
    <dataField name="Count of EEID" fld="0" subtotal="count"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Workforc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7D88F1-ACB7-4FD8-AF36-13E03AF6319B}" name="PivotTable3" cacheId="46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4:J11" firstHeaderRow="1" firstDataRow="2" firstDataCol="1" rowPageCount="1" colPageCount="1"/>
  <pivotFields count="5">
    <pivotField dataField="1" subtotalTop="0" showAll="0" defaultSubtotal="0"/>
    <pivotField axis="axisCol" allDrilled="1" subtotalTop="0" showAll="0" dataSourceSort="1" defaultSubtotal="0" defaultAttributeDrillState="1">
      <items count="2">
        <item x="0"/>
        <item x="1"/>
      </items>
    </pivotField>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6">
    <i>
      <x/>
    </i>
    <i>
      <x v="1"/>
    </i>
    <i>
      <x v="2"/>
    </i>
    <i>
      <x v="3"/>
    </i>
    <i>
      <x v="4"/>
    </i>
    <i>
      <x v="5"/>
    </i>
  </rowItems>
  <colFields count="1">
    <field x="1"/>
  </colFields>
  <colItems count="2">
    <i>
      <x/>
    </i>
    <i>
      <x v="1"/>
    </i>
  </colItems>
  <pageFields count="1">
    <pageField fld="2" hier="11" name="[Table1].[Status].&amp;[Active]" cap="Active"/>
  </pageFields>
  <dataFields count="1">
    <dataField name="Count of EEID" fld="0" subtotal="count" baseField="0" baseItem="0"/>
  </dataField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Workforc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4F5DCF-762D-4729-9D57-F803487C3CA2}" name="PivotTable2" cacheId="464" applyNumberFormats="0" applyBorderFormats="0" applyFontFormats="0" applyPatternFormats="0" applyAlignmentFormats="0" applyWidthHeightFormats="1" dataCaption="Values" showMissing="0" updatedVersion="8" minRefreshableVersion="3" preserveFormatting="0" itemPrintTitles="1" createdVersion="8" indent="0" outline="1" outlineData="1" multipleFieldFilters="0" chartFormat="4">
  <location ref="E4:F15"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pageFields count="1">
    <pageField fld="1" hier="11" name="[Table1].[Status].&amp;[Active]" cap="Active"/>
  </pageFields>
  <dataFields count="1">
    <dataField name="Sum of Annual" fld="2" baseField="0" baseItem="0" numFmtId="168"/>
  </dataFields>
  <chartFormats count="1">
    <chartFormat chart="2"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1].[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7">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Workforc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6A4246-D85A-43F3-9315-481710BAD1D6}" name="PivotTable1" cacheId="4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EID" fld="1" subtotal="count" baseField="0" baseItem="0"/>
  </dataField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 Workforce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 xr10:uid="{32FE3D98-0EB2-4C42-A083-A2C8C5E5331B}" sourceName="[Table1].[Business]">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341503716">
      <levels count="2">
        <level uniqueName="[Table1].[Business].[(All)]" sourceCaption="(All)" count="0"/>
        <level uniqueName="[Table1].[Business].[Business]" sourceCaption="Business" count="4">
          <ranges>
            <range startItem="0">
              <i n="[Table1].[Business].&amp;[Corporate]" c="Corporate"/>
              <i n="[Table1].[Business].&amp;[Manufacturing]" c="Manufacturing"/>
              <i n="[Table1].[Business].&amp;[Products]" c="Products"/>
              <i n="[Table1].[Business].&amp;[R&amp;D]" c="R&amp;D"/>
            </range>
          </ranges>
        </level>
      </levels>
      <selections count="1">
        <selection n="[Table1].[Busine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xr10:uid="{E1CE32BA-3458-4EEC-AA5E-76217A947001}" cache="Slicer_Business" caption="Business" columnCount="2" showCaption="0" level="1"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9BAB80-40E1-4C3D-9D3E-989F6D7C891D}" name="Table1" displayName="Table1" ref="A1:N793" totalsRowShown="0">
  <autoFilter ref="A1:N793" xr:uid="{959BAB80-40E1-4C3D-9D3E-989F6D7C891D}"/>
  <tableColumns count="14">
    <tableColumn id="1" xr3:uid="{2A20FAC0-8EC5-427C-BB81-0232DC43F47B}" name="EEID"/>
    <tableColumn id="2" xr3:uid="{C912592A-2D61-4190-A335-B683390083A8}" name="Full"/>
    <tableColumn id="3" xr3:uid="{DDFA1DF4-2502-47C5-A447-A2054A138EDD}" name="Gender"/>
    <tableColumn id="4" xr3:uid="{B0C9FFD7-CD85-4FFD-A3C5-C5FDB8065EA0}" name="Age"/>
    <tableColumn id="5" xr3:uid="{0AB3B72F-64E5-4D45-BBAA-458B8FAA3FA9}" name="Job"/>
    <tableColumn id="6" xr3:uid="{07D57ED6-AB9E-41C4-9917-2B50B7917A25}" name="Department"/>
    <tableColumn id="7" xr3:uid="{4FD963BC-091B-41D9-BF5A-C0621D2FE6F7}" name="Business"/>
    <tableColumn id="8" xr3:uid="{C62D89AA-59A0-4F94-A7CE-412FCD230CF0}" name="Hire" dataDxfId="8"/>
    <tableColumn id="9" xr3:uid="{B82A2892-1F61-4684-A582-D06980132DF4}" name="Exit" dataDxfId="7"/>
    <tableColumn id="10" xr3:uid="{DE57304B-2A2E-43FC-B334-44F3C0727952}" name="Annual"/>
    <tableColumn id="11" xr3:uid="{B451FFA9-752C-46B1-9695-90A21B2DEDFF}" name="Bonus"/>
    <tableColumn id="12" xr3:uid="{014D154F-CC9B-4264-889F-0AB258D3591E}" name="Status"/>
    <tableColumn id="13" xr3:uid="{715EDAA5-49F1-4EA4-B5E6-F81CF98050C1}" name="year" dataDxfId="6">
      <calculatedColumnFormula>IF(ISBLANK(Table1[[#This Row],[Exit]]),DATEDIF(Table1[[#This Row],[Hire]],TODAY(),"Y"),DATEDIF(Table1[[#This Row],[Hire]],Table1[[#This Row],[Exit]],"Y"))</calculatedColumnFormula>
    </tableColumn>
    <tableColumn id="14" xr3:uid="{004019C6-744C-4DB5-9B07-17A17B25B075}" name="Age group" dataDxfId="5">
      <calculatedColumnFormula array="1">_xlfn.IFS(
AND(D2&gt;=26,D2&lt;=30),"26–30",
AND(D2&gt;=31,D2&lt;=35),"31–35",
AND(D2&gt;=36,D2&lt;=40),"36–40",
AND(D2&gt;=41,D2&lt;=45),"41–45",
AND(D2&gt;=46,D2&lt;=50),"46–50",
AND(D2&gt;=51,D2&lt;=60),"51–60")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AB27-EC58-4D7D-9E93-60F7F5782636}">
  <sheetPr codeName="Sheet2">
    <tabColor theme="8" tint="-0.499984740745262"/>
  </sheetPr>
  <dimension ref="A1:N793"/>
  <sheetViews>
    <sheetView showGridLines="0" workbookViewId="0">
      <pane ySplit="1" topLeftCell="A2" activePane="bottomLeft" state="frozen"/>
      <selection pane="bottomLeft" activeCell="A2" sqref="A2"/>
    </sheetView>
  </sheetViews>
  <sheetFormatPr defaultRowHeight="14.5" x14ac:dyDescent="0.35"/>
  <cols>
    <col min="1" max="1" width="6.90625" bestFit="1" customWidth="1"/>
    <col min="2" max="2" width="10.453125" bestFit="1" customWidth="1"/>
    <col min="3" max="3" width="9.1796875" bestFit="1" customWidth="1"/>
    <col min="4" max="4" width="6.08984375" bestFit="1" customWidth="1"/>
    <col min="5" max="5" width="9.90625" bestFit="1" customWidth="1"/>
    <col min="6" max="6" width="13.08984375" bestFit="1" customWidth="1"/>
    <col min="7" max="7" width="12.453125" bestFit="1" customWidth="1"/>
    <col min="8" max="9" width="10.08984375" style="1" bestFit="1" customWidth="1"/>
    <col min="10" max="10" width="9" bestFit="1" customWidth="1"/>
    <col min="11" max="11" width="8.26953125" bestFit="1" customWidth="1"/>
    <col min="12" max="12" width="8.453125" bestFit="1" customWidth="1"/>
    <col min="14" max="14" width="12.08984375" customWidth="1"/>
  </cols>
  <sheetData>
    <row r="1" spans="1:14" x14ac:dyDescent="0.35">
      <c r="A1" t="s">
        <v>0</v>
      </c>
      <c r="B1" t="s">
        <v>1</v>
      </c>
      <c r="C1" t="s">
        <v>2</v>
      </c>
      <c r="D1" t="s">
        <v>3</v>
      </c>
      <c r="E1" t="s">
        <v>4</v>
      </c>
      <c r="F1" t="s">
        <v>5</v>
      </c>
      <c r="G1" t="s">
        <v>6</v>
      </c>
      <c r="H1" s="1" t="s">
        <v>7</v>
      </c>
      <c r="I1" s="1" t="s">
        <v>8</v>
      </c>
      <c r="J1" t="s">
        <v>9</v>
      </c>
      <c r="K1" t="s">
        <v>10</v>
      </c>
      <c r="L1" t="s">
        <v>11</v>
      </c>
      <c r="M1" t="s">
        <v>1547</v>
      </c>
      <c r="N1" t="s">
        <v>1548</v>
      </c>
    </row>
    <row r="2" spans="1:14" x14ac:dyDescent="0.35">
      <c r="A2" t="s">
        <v>12</v>
      </c>
      <c r="B2" t="s">
        <v>13</v>
      </c>
      <c r="C2" t="s">
        <v>14</v>
      </c>
      <c r="D2">
        <v>47</v>
      </c>
      <c r="E2" t="s">
        <v>15</v>
      </c>
      <c r="F2" t="s">
        <v>16</v>
      </c>
      <c r="G2" t="s">
        <v>17</v>
      </c>
      <c r="H2" s="1">
        <v>44116</v>
      </c>
      <c r="I2" s="1">
        <v>44857</v>
      </c>
      <c r="J2">
        <v>10000</v>
      </c>
      <c r="K2">
        <v>0</v>
      </c>
      <c r="L2" t="s">
        <v>18</v>
      </c>
      <c r="M2">
        <f ca="1">IF(ISBLANK(Table1[[#This Row],[Exit]]),DATEDIF(Table1[[#This Row],[Hire]],TODAY(),"Y"),DATEDIF(Table1[[#This Row],[Hire]],Table1[[#This Row],[Exit]],"Y"))</f>
        <v>2</v>
      </c>
      <c r="N2" t="str" cm="1">
        <f t="array" ref="N2">_xlfn.IFS(
AND(D2&gt;=26,D2&lt;=30),"26–30",
AND(D2&gt;=31,D2&lt;=35),"31–35",
AND(D2&gt;=36,D2&lt;=40),"36–40",
AND(D2&gt;=41,D2&lt;=45),"41–45",
AND(D2&gt;=46,D2&lt;=50),"46–50",
AND(D2&gt;=51,D2&lt;=60),"51–60")</f>
        <v>46–50</v>
      </c>
    </row>
    <row r="3" spans="1:14" x14ac:dyDescent="0.35">
      <c r="A3" t="s">
        <v>19</v>
      </c>
      <c r="B3" t="s">
        <v>20</v>
      </c>
      <c r="C3" t="s">
        <v>21</v>
      </c>
      <c r="D3">
        <v>36</v>
      </c>
      <c r="E3" t="s">
        <v>22</v>
      </c>
      <c r="F3" t="s">
        <v>16</v>
      </c>
      <c r="G3" t="s">
        <v>23</v>
      </c>
      <c r="H3" s="1">
        <v>44588</v>
      </c>
      <c r="J3">
        <v>10000</v>
      </c>
      <c r="K3">
        <v>0</v>
      </c>
      <c r="L3" t="s">
        <v>24</v>
      </c>
      <c r="M3">
        <f ca="1">IF(ISBLANK(Table1[[#This Row],[Exit]]),DATEDIF(Table1[[#This Row],[Hire]],TODAY(),"Y"),DATEDIF(Table1[[#This Row],[Hire]],Table1[[#This Row],[Exit]],"Y"))</f>
        <v>4</v>
      </c>
      <c r="N3" t="str" cm="1">
        <f t="array" ref="N3">_xlfn.IFS(
AND(D3&gt;=26,D3&lt;=30),"26–30",
AND(D3&gt;=31,D3&lt;=35),"31–35",
AND(D3&gt;=36,D3&lt;=40),"36–40",
AND(D3&gt;=41,D3&lt;=45),"41–45",
AND(D3&gt;=46,D3&lt;=50),"46–50",
AND(D3&gt;=51,D3&lt;=60),"51–60")</f>
        <v>36–40</v>
      </c>
    </row>
    <row r="4" spans="1:14" x14ac:dyDescent="0.35">
      <c r="A4" t="s">
        <v>25</v>
      </c>
      <c r="B4" t="s">
        <v>26</v>
      </c>
      <c r="C4" t="s">
        <v>14</v>
      </c>
      <c r="D4">
        <v>41</v>
      </c>
      <c r="E4" t="s">
        <v>27</v>
      </c>
      <c r="F4" t="s">
        <v>28</v>
      </c>
      <c r="G4" t="s">
        <v>17</v>
      </c>
      <c r="H4" s="1">
        <v>45337</v>
      </c>
      <c r="J4">
        <v>12000</v>
      </c>
      <c r="K4">
        <v>0</v>
      </c>
      <c r="L4" t="s">
        <v>24</v>
      </c>
      <c r="M4">
        <f ca="1">IF(ISBLANK(Table1[[#This Row],[Exit]]),DATEDIF(Table1[[#This Row],[Hire]],TODAY(),"Y"),DATEDIF(Table1[[#This Row],[Hire]],Table1[[#This Row],[Exit]],"Y"))</f>
        <v>1</v>
      </c>
      <c r="N4" t="str" cm="1">
        <f t="array" ref="N4">_xlfn.IFS(
AND(D4&gt;=26,D4&lt;=30),"26–30",
AND(D4&gt;=31,D4&lt;=35),"31–35",
AND(D4&gt;=36,D4&lt;=40),"36–40",
AND(D4&gt;=41,D4&lt;=45),"41–45",
AND(D4&gt;=46,D4&lt;=50),"46–50",
AND(D4&gt;=51,D4&lt;=60),"51–60")</f>
        <v>41–45</v>
      </c>
    </row>
    <row r="5" spans="1:14" x14ac:dyDescent="0.35">
      <c r="A5" t="s">
        <v>29</v>
      </c>
      <c r="B5" t="s">
        <v>30</v>
      </c>
      <c r="C5" t="s">
        <v>21</v>
      </c>
      <c r="D5">
        <v>30</v>
      </c>
      <c r="E5" t="s">
        <v>31</v>
      </c>
      <c r="F5" t="s">
        <v>16</v>
      </c>
      <c r="G5" t="s">
        <v>23</v>
      </c>
      <c r="H5" s="1">
        <v>45332</v>
      </c>
      <c r="J5">
        <v>14000</v>
      </c>
      <c r="K5">
        <v>0</v>
      </c>
      <c r="L5" t="s">
        <v>24</v>
      </c>
      <c r="M5">
        <f ca="1">IF(ISBLANK(Table1[[#This Row],[Exit]]),DATEDIF(Table1[[#This Row],[Hire]],TODAY(),"Y"),DATEDIF(Table1[[#This Row],[Hire]],Table1[[#This Row],[Exit]],"Y"))</f>
        <v>1</v>
      </c>
      <c r="N5" t="str" cm="1">
        <f t="array" ref="N5">_xlfn.IFS(
AND(D5&gt;=26,D5&lt;=30),"26–30",
AND(D5&gt;=31,D5&lt;=35),"31–35",
AND(D5&gt;=36,D5&lt;=40),"36–40",
AND(D5&gt;=41,D5&lt;=45),"41–45",
AND(D5&gt;=46,D5&lt;=50),"46–50",
AND(D5&gt;=51,D5&lt;=60),"51–60")</f>
        <v>26–30</v>
      </c>
    </row>
    <row r="6" spans="1:14" x14ac:dyDescent="0.35">
      <c r="A6" t="s">
        <v>32</v>
      </c>
      <c r="B6" t="s">
        <v>33</v>
      </c>
      <c r="C6" t="s">
        <v>14</v>
      </c>
      <c r="D6">
        <v>30</v>
      </c>
      <c r="E6" t="s">
        <v>27</v>
      </c>
      <c r="F6" t="s">
        <v>28</v>
      </c>
      <c r="G6" t="s">
        <v>34</v>
      </c>
      <c r="H6" s="1">
        <v>44183</v>
      </c>
      <c r="I6" s="1">
        <v>45430</v>
      </c>
      <c r="J6">
        <v>16000</v>
      </c>
      <c r="K6">
        <v>0</v>
      </c>
      <c r="L6" t="s">
        <v>18</v>
      </c>
      <c r="M6">
        <f ca="1">IF(ISBLANK(Table1[[#This Row],[Exit]]),DATEDIF(Table1[[#This Row],[Hire]],TODAY(),"Y"),DATEDIF(Table1[[#This Row],[Hire]],Table1[[#This Row],[Exit]],"Y"))</f>
        <v>3</v>
      </c>
      <c r="N6" t="str" cm="1">
        <f t="array" ref="N6">_xlfn.IFS(
AND(D6&gt;=26,D6&lt;=30),"26–30",
AND(D6&gt;=31,D6&lt;=35),"31–35",
AND(D6&gt;=36,D6&lt;=40),"36–40",
AND(D6&gt;=41,D6&lt;=45),"41–45",
AND(D6&gt;=46,D6&lt;=50),"46–50",
AND(D6&gt;=51,D6&lt;=60),"51–60")</f>
        <v>26–30</v>
      </c>
    </row>
    <row r="7" spans="1:14" x14ac:dyDescent="0.35">
      <c r="A7" t="s">
        <v>35</v>
      </c>
      <c r="B7" t="s">
        <v>36</v>
      </c>
      <c r="C7" t="s">
        <v>21</v>
      </c>
      <c r="D7">
        <v>38</v>
      </c>
      <c r="E7" t="s">
        <v>15</v>
      </c>
      <c r="F7" t="s">
        <v>16</v>
      </c>
      <c r="G7" t="s">
        <v>23</v>
      </c>
      <c r="H7" s="1">
        <v>43837</v>
      </c>
      <c r="I7" s="1">
        <v>45430</v>
      </c>
      <c r="J7">
        <v>18000</v>
      </c>
      <c r="K7">
        <v>0.15</v>
      </c>
      <c r="L7" t="s">
        <v>18</v>
      </c>
      <c r="M7">
        <f ca="1">IF(ISBLANK(Table1[[#This Row],[Exit]]),DATEDIF(Table1[[#This Row],[Hire]],TODAY(),"Y"),DATEDIF(Table1[[#This Row],[Hire]],Table1[[#This Row],[Exit]],"Y"))</f>
        <v>4</v>
      </c>
      <c r="N7" t="str" cm="1">
        <f t="array" ref="N7">_xlfn.IFS(
AND(D7&gt;=26,D7&lt;=30),"26–30",
AND(D7&gt;=31,D7&lt;=35),"31–35",
AND(D7&gt;=36,D7&lt;=40),"36–40",
AND(D7&gt;=41,D7&lt;=45),"41–45",
AND(D7&gt;=46,D7&lt;=50),"46–50",
AND(D7&gt;=51,D7&lt;=60),"51–60")</f>
        <v>36–40</v>
      </c>
    </row>
    <row r="8" spans="1:14" x14ac:dyDescent="0.35">
      <c r="A8" t="s">
        <v>37</v>
      </c>
      <c r="B8" t="s">
        <v>38</v>
      </c>
      <c r="C8" t="s">
        <v>14</v>
      </c>
      <c r="D8">
        <v>28</v>
      </c>
      <c r="E8" t="s">
        <v>15</v>
      </c>
      <c r="F8" t="s">
        <v>16</v>
      </c>
      <c r="G8" t="s">
        <v>34</v>
      </c>
      <c r="H8" s="1">
        <v>45206</v>
      </c>
      <c r="J8">
        <v>20000</v>
      </c>
      <c r="K8">
        <v>0</v>
      </c>
      <c r="L8" t="s">
        <v>24</v>
      </c>
      <c r="M8">
        <f ca="1">IF(ISBLANK(Table1[[#This Row],[Exit]]),DATEDIF(Table1[[#This Row],[Hire]],TODAY(),"Y"),DATEDIF(Table1[[#This Row],[Hire]],Table1[[#This Row],[Exit]],"Y"))</f>
        <v>2</v>
      </c>
      <c r="N8" t="str" cm="1">
        <f t="array" ref="N8">_xlfn.IFS(
AND(D8&gt;=26,D8&lt;=30),"26–30",
AND(D8&gt;=31,D8&lt;=35),"31–35",
AND(D8&gt;=36,D8&lt;=40),"36–40",
AND(D8&gt;=41,D8&lt;=45),"41–45",
AND(D8&gt;=46,D8&lt;=50),"46–50",
AND(D8&gt;=51,D8&lt;=60),"51–60")</f>
        <v>26–30</v>
      </c>
    </row>
    <row r="9" spans="1:14" x14ac:dyDescent="0.35">
      <c r="A9" t="s">
        <v>39</v>
      </c>
      <c r="B9" t="s">
        <v>40</v>
      </c>
      <c r="C9" t="s">
        <v>41</v>
      </c>
      <c r="D9">
        <v>39</v>
      </c>
      <c r="E9" t="s">
        <v>42</v>
      </c>
      <c r="F9" t="s">
        <v>43</v>
      </c>
      <c r="G9" t="s">
        <v>34</v>
      </c>
      <c r="H9" s="1">
        <v>44487</v>
      </c>
      <c r="J9">
        <v>22000</v>
      </c>
      <c r="K9">
        <v>0.11</v>
      </c>
      <c r="L9" t="s">
        <v>24</v>
      </c>
      <c r="M9">
        <f ca="1">IF(ISBLANK(Table1[[#This Row],[Exit]]),DATEDIF(Table1[[#This Row],[Hire]],TODAY(),"Y"),DATEDIF(Table1[[#This Row],[Hire]],Table1[[#This Row],[Exit]],"Y"))</f>
        <v>4</v>
      </c>
      <c r="N9" t="str" cm="1">
        <f t="array" ref="N9">_xlfn.IFS(
AND(D9&gt;=26,D9&lt;=30),"26–30",
AND(D9&gt;=31,D9&lt;=35),"31–35",
AND(D9&gt;=36,D9&lt;=40),"36–40",
AND(D9&gt;=41,D9&lt;=45),"41–45",
AND(D9&gt;=46,D9&lt;=50),"46–50",
AND(D9&gt;=51,D9&lt;=60),"51–60")</f>
        <v>36–40</v>
      </c>
    </row>
    <row r="10" spans="1:14" x14ac:dyDescent="0.35">
      <c r="A10" t="s">
        <v>44</v>
      </c>
      <c r="B10" t="s">
        <v>45</v>
      </c>
      <c r="C10" t="s">
        <v>14</v>
      </c>
      <c r="D10">
        <v>31</v>
      </c>
      <c r="E10" t="s">
        <v>42</v>
      </c>
      <c r="F10" t="s">
        <v>46</v>
      </c>
      <c r="G10" t="s">
        <v>23</v>
      </c>
      <c r="H10" s="1">
        <v>44791</v>
      </c>
      <c r="J10">
        <v>24000</v>
      </c>
      <c r="K10">
        <v>0.12</v>
      </c>
      <c r="L10" t="s">
        <v>24</v>
      </c>
      <c r="M10">
        <f ca="1">IF(ISBLANK(Table1[[#This Row],[Exit]]),DATEDIF(Table1[[#This Row],[Hire]],TODAY(),"Y"),DATEDIF(Table1[[#This Row],[Hire]],Table1[[#This Row],[Exit]],"Y"))</f>
        <v>3</v>
      </c>
      <c r="N10" t="str" cm="1">
        <f t="array" ref="N10">_xlfn.IFS(
AND(D10&gt;=26,D10&lt;=30),"26–30",
AND(D10&gt;=31,D10&lt;=35),"31–35",
AND(D10&gt;=36,D10&lt;=40),"36–40",
AND(D10&gt;=41,D10&lt;=45),"41–45",
AND(D10&gt;=46,D10&lt;=50),"46–50",
AND(D10&gt;=51,D10&lt;=60),"51–60")</f>
        <v>31–35</v>
      </c>
    </row>
    <row r="11" spans="1:14" x14ac:dyDescent="0.35">
      <c r="A11" t="s">
        <v>47</v>
      </c>
      <c r="B11" t="s">
        <v>48</v>
      </c>
      <c r="C11" t="s">
        <v>14</v>
      </c>
      <c r="D11">
        <v>45</v>
      </c>
      <c r="E11" t="s">
        <v>42</v>
      </c>
      <c r="F11" t="s">
        <v>49</v>
      </c>
      <c r="G11" t="s">
        <v>17</v>
      </c>
      <c r="H11" s="1">
        <v>45440</v>
      </c>
      <c r="J11">
        <v>26000</v>
      </c>
      <c r="K11">
        <v>0</v>
      </c>
      <c r="L11" t="s">
        <v>24</v>
      </c>
      <c r="M11">
        <f ca="1">IF(ISBLANK(Table1[[#This Row],[Exit]]),DATEDIF(Table1[[#This Row],[Hire]],TODAY(),"Y"),DATEDIF(Table1[[#This Row],[Hire]],Table1[[#This Row],[Exit]],"Y"))</f>
        <v>1</v>
      </c>
      <c r="N11" t="str" cm="1">
        <f t="array" ref="N11">_xlfn.IFS(
AND(D11&gt;=26,D11&lt;=30),"26–30",
AND(D11&gt;=31,D11&lt;=35),"31–35",
AND(D11&gt;=36,D11&lt;=40),"36–40",
AND(D11&gt;=41,D11&lt;=45),"41–45",
AND(D11&gt;=46,D11&lt;=50),"46–50",
AND(D11&gt;=51,D11&lt;=60),"51–60")</f>
        <v>41–45</v>
      </c>
    </row>
    <row r="12" spans="1:14" x14ac:dyDescent="0.35">
      <c r="A12" t="s">
        <v>50</v>
      </c>
      <c r="B12" t="s">
        <v>51</v>
      </c>
      <c r="C12" t="s">
        <v>14</v>
      </c>
      <c r="D12">
        <v>50</v>
      </c>
      <c r="E12" t="s">
        <v>52</v>
      </c>
      <c r="F12" t="s">
        <v>16</v>
      </c>
      <c r="G12" t="s">
        <v>53</v>
      </c>
      <c r="H12" s="1">
        <v>44811</v>
      </c>
      <c r="J12">
        <v>28000</v>
      </c>
      <c r="K12">
        <v>0.12</v>
      </c>
      <c r="L12" t="s">
        <v>24</v>
      </c>
      <c r="M12">
        <f ca="1">IF(ISBLANK(Table1[[#This Row],[Exit]]),DATEDIF(Table1[[#This Row],[Hire]],TODAY(),"Y"),DATEDIF(Table1[[#This Row],[Hire]],Table1[[#This Row],[Exit]],"Y"))</f>
        <v>3</v>
      </c>
      <c r="N12" t="str" cm="1">
        <f t="array" ref="N12">_xlfn.IFS(
AND(D12&gt;=26,D12&lt;=30),"26–30",
AND(D12&gt;=31,D12&lt;=35),"31–35",
AND(D12&gt;=36,D12&lt;=40),"36–40",
AND(D12&gt;=41,D12&lt;=45),"41–45",
AND(D12&gt;=46,D12&lt;=50),"46–50",
AND(D12&gt;=51,D12&lt;=60),"51–60")</f>
        <v>46–50</v>
      </c>
    </row>
    <row r="13" spans="1:14" x14ac:dyDescent="0.35">
      <c r="A13" t="s">
        <v>54</v>
      </c>
      <c r="B13" t="s">
        <v>55</v>
      </c>
      <c r="C13" t="s">
        <v>21</v>
      </c>
      <c r="D13">
        <v>36</v>
      </c>
      <c r="E13" t="s">
        <v>42</v>
      </c>
      <c r="F13" t="s">
        <v>46</v>
      </c>
      <c r="G13" t="s">
        <v>53</v>
      </c>
      <c r="H13" s="1">
        <v>45294</v>
      </c>
      <c r="J13">
        <v>30000</v>
      </c>
      <c r="K13">
        <v>0.15</v>
      </c>
      <c r="L13" t="s">
        <v>24</v>
      </c>
      <c r="M13">
        <f ca="1">IF(ISBLANK(Table1[[#This Row],[Exit]]),DATEDIF(Table1[[#This Row],[Hire]],TODAY(),"Y"),DATEDIF(Table1[[#This Row],[Hire]],Table1[[#This Row],[Exit]],"Y"))</f>
        <v>2</v>
      </c>
      <c r="N13" t="str" cm="1">
        <f t="array" ref="N13">_xlfn.IFS(
AND(D13&gt;=26,D13&lt;=30),"26–30",
AND(D13&gt;=31,D13&lt;=35),"31–35",
AND(D13&gt;=36,D13&lt;=40),"36–40",
AND(D13&gt;=41,D13&lt;=45),"41–45",
AND(D13&gt;=46,D13&lt;=50),"46–50",
AND(D13&gt;=51,D13&lt;=60),"51–60")</f>
        <v>36–40</v>
      </c>
    </row>
    <row r="14" spans="1:14" x14ac:dyDescent="0.35">
      <c r="A14" t="s">
        <v>56</v>
      </c>
      <c r="B14" t="s">
        <v>57</v>
      </c>
      <c r="C14" t="s">
        <v>14</v>
      </c>
      <c r="D14">
        <v>45</v>
      </c>
      <c r="E14" t="s">
        <v>58</v>
      </c>
      <c r="F14" t="s">
        <v>59</v>
      </c>
      <c r="G14" t="s">
        <v>34</v>
      </c>
      <c r="H14" s="1">
        <v>45074</v>
      </c>
      <c r="J14">
        <v>32000</v>
      </c>
      <c r="K14">
        <v>0</v>
      </c>
      <c r="L14" t="s">
        <v>24</v>
      </c>
      <c r="M14">
        <f ca="1">IF(ISBLANK(Table1[[#This Row],[Exit]]),DATEDIF(Table1[[#This Row],[Hire]],TODAY(),"Y"),DATEDIF(Table1[[#This Row],[Hire]],Table1[[#This Row],[Exit]],"Y"))</f>
        <v>2</v>
      </c>
      <c r="N14" t="str" cm="1">
        <f t="array" ref="N14">_xlfn.IFS(
AND(D14&gt;=26,D14&lt;=30),"26–30",
AND(D14&gt;=31,D14&lt;=35),"31–35",
AND(D14&gt;=36,D14&lt;=40),"36–40",
AND(D14&gt;=41,D14&lt;=45),"41–45",
AND(D14&gt;=46,D14&lt;=50),"46–50",
AND(D14&gt;=51,D14&lt;=60),"51–60")</f>
        <v>41–45</v>
      </c>
    </row>
    <row r="15" spans="1:14" x14ac:dyDescent="0.35">
      <c r="A15" t="s">
        <v>60</v>
      </c>
      <c r="B15" t="s">
        <v>61</v>
      </c>
      <c r="C15" t="s">
        <v>41</v>
      </c>
      <c r="D15">
        <v>29</v>
      </c>
      <c r="E15" t="s">
        <v>52</v>
      </c>
      <c r="F15" t="s">
        <v>16</v>
      </c>
      <c r="G15" t="s">
        <v>23</v>
      </c>
      <c r="H15" s="1">
        <v>45245</v>
      </c>
      <c r="J15">
        <v>34000</v>
      </c>
      <c r="K15">
        <v>0</v>
      </c>
      <c r="L15" t="s">
        <v>24</v>
      </c>
      <c r="M15">
        <f ca="1">IF(ISBLANK(Table1[[#This Row],[Exit]]),DATEDIF(Table1[[#This Row],[Hire]],TODAY(),"Y"),DATEDIF(Table1[[#This Row],[Hire]],Table1[[#This Row],[Exit]],"Y"))</f>
        <v>2</v>
      </c>
      <c r="N15" t="str" cm="1">
        <f t="array" ref="N15">_xlfn.IFS(
AND(D15&gt;=26,D15&lt;=30),"26–30",
AND(D15&gt;=31,D15&lt;=35),"31–35",
AND(D15&gt;=36,D15&lt;=40),"36–40",
AND(D15&gt;=41,D15&lt;=45),"41–45",
AND(D15&gt;=46,D15&lt;=50),"46–50",
AND(D15&gt;=51,D15&lt;=60),"51–60")</f>
        <v>26–30</v>
      </c>
    </row>
    <row r="16" spans="1:14" x14ac:dyDescent="0.35">
      <c r="A16" t="s">
        <v>62</v>
      </c>
      <c r="B16" t="s">
        <v>63</v>
      </c>
      <c r="C16" t="s">
        <v>41</v>
      </c>
      <c r="D16">
        <v>41</v>
      </c>
      <c r="E16" t="s">
        <v>52</v>
      </c>
      <c r="F16" t="s">
        <v>16</v>
      </c>
      <c r="G16" t="s">
        <v>34</v>
      </c>
      <c r="H16" s="1">
        <v>43851</v>
      </c>
      <c r="I16" s="1">
        <v>44857</v>
      </c>
      <c r="J16">
        <v>36000</v>
      </c>
      <c r="K16">
        <v>0.15</v>
      </c>
      <c r="L16" t="s">
        <v>18</v>
      </c>
      <c r="M16">
        <f ca="1">IF(ISBLANK(Table1[[#This Row],[Exit]]),DATEDIF(Table1[[#This Row],[Hire]],TODAY(),"Y"),DATEDIF(Table1[[#This Row],[Hire]],Table1[[#This Row],[Exit]],"Y"))</f>
        <v>2</v>
      </c>
      <c r="N16" t="str" cm="1">
        <f t="array" ref="N16">_xlfn.IFS(
AND(D16&gt;=26,D16&lt;=30),"26–30",
AND(D16&gt;=31,D16&lt;=35),"31–35",
AND(D16&gt;=36,D16&lt;=40),"36–40",
AND(D16&gt;=41,D16&lt;=45),"41–45",
AND(D16&gt;=46,D16&lt;=50),"46–50",
AND(D16&gt;=51,D16&lt;=60),"51–60")</f>
        <v>41–45</v>
      </c>
    </row>
    <row r="17" spans="1:14" x14ac:dyDescent="0.35">
      <c r="A17" t="s">
        <v>64</v>
      </c>
      <c r="B17" t="s">
        <v>65</v>
      </c>
      <c r="C17" t="s">
        <v>21</v>
      </c>
      <c r="D17">
        <v>47</v>
      </c>
      <c r="E17" t="s">
        <v>66</v>
      </c>
      <c r="F17" t="s">
        <v>16</v>
      </c>
      <c r="G17" t="s">
        <v>17</v>
      </c>
      <c r="H17" s="1">
        <v>45206</v>
      </c>
      <c r="I17" s="1">
        <v>45537</v>
      </c>
      <c r="J17">
        <v>38000</v>
      </c>
      <c r="K17">
        <v>0</v>
      </c>
      <c r="L17" t="s">
        <v>18</v>
      </c>
      <c r="M17">
        <f ca="1">IF(ISBLANK(Table1[[#This Row],[Exit]]),DATEDIF(Table1[[#This Row],[Hire]],TODAY(),"Y"),DATEDIF(Table1[[#This Row],[Hire]],Table1[[#This Row],[Exit]],"Y"))</f>
        <v>0</v>
      </c>
      <c r="N17" t="str" cm="1">
        <f t="array" ref="N17">_xlfn.IFS(
AND(D17&gt;=26,D17&lt;=30),"26–30",
AND(D17&gt;=31,D17&lt;=35),"31–35",
AND(D17&gt;=36,D17&lt;=40),"36–40",
AND(D17&gt;=41,D17&lt;=45),"41–45",
AND(D17&gt;=46,D17&lt;=50),"46–50",
AND(D17&gt;=51,D17&lt;=60),"51–60")</f>
        <v>46–50</v>
      </c>
    </row>
    <row r="18" spans="1:14" x14ac:dyDescent="0.35">
      <c r="A18" t="s">
        <v>67</v>
      </c>
      <c r="B18" t="s">
        <v>68</v>
      </c>
      <c r="C18" t="s">
        <v>21</v>
      </c>
      <c r="D18">
        <v>38</v>
      </c>
      <c r="E18" t="s">
        <v>58</v>
      </c>
      <c r="F18" t="s">
        <v>59</v>
      </c>
      <c r="G18" t="s">
        <v>23</v>
      </c>
      <c r="H18" s="1">
        <v>45401</v>
      </c>
      <c r="J18">
        <v>40000</v>
      </c>
      <c r="K18">
        <v>0</v>
      </c>
      <c r="L18" t="s">
        <v>24</v>
      </c>
      <c r="M18">
        <f ca="1">IF(ISBLANK(Table1[[#This Row],[Exit]]),DATEDIF(Table1[[#This Row],[Hire]],TODAY(),"Y"),DATEDIF(Table1[[#This Row],[Hire]],Table1[[#This Row],[Exit]],"Y"))</f>
        <v>1</v>
      </c>
      <c r="N18" t="str" cm="1">
        <f t="array" ref="N18">_xlfn.IFS(
AND(D18&gt;=26,D18&lt;=30),"26–30",
AND(D18&gt;=31,D18&lt;=35),"31–35",
AND(D18&gt;=36,D18&lt;=40),"36–40",
AND(D18&gt;=41,D18&lt;=45),"41–45",
AND(D18&gt;=46,D18&lt;=50),"46–50",
AND(D18&gt;=51,D18&lt;=60),"51–60")</f>
        <v>36–40</v>
      </c>
    </row>
    <row r="19" spans="1:14" x14ac:dyDescent="0.35">
      <c r="A19" t="s">
        <v>69</v>
      </c>
      <c r="B19" t="s">
        <v>70</v>
      </c>
      <c r="C19" t="s">
        <v>14</v>
      </c>
      <c r="D19">
        <v>40</v>
      </c>
      <c r="E19" t="s">
        <v>66</v>
      </c>
      <c r="F19" t="s">
        <v>16</v>
      </c>
      <c r="G19" t="s">
        <v>34</v>
      </c>
      <c r="H19" s="1">
        <v>44083</v>
      </c>
      <c r="J19">
        <v>42000</v>
      </c>
      <c r="K19">
        <v>0.15</v>
      </c>
      <c r="L19" t="s">
        <v>24</v>
      </c>
      <c r="M19">
        <f ca="1">IF(ISBLANK(Table1[[#This Row],[Exit]]),DATEDIF(Table1[[#This Row],[Hire]],TODAY(),"Y"),DATEDIF(Table1[[#This Row],[Hire]],Table1[[#This Row],[Exit]],"Y"))</f>
        <v>5</v>
      </c>
      <c r="N19" t="str" cm="1">
        <f t="array" ref="N19">_xlfn.IFS(
AND(D19&gt;=26,D19&lt;=30),"26–30",
AND(D19&gt;=31,D19&lt;=35),"31–35",
AND(D19&gt;=36,D19&lt;=40),"36–40",
AND(D19&gt;=41,D19&lt;=45),"41–45",
AND(D19&gt;=46,D19&lt;=50),"46–50",
AND(D19&gt;=51,D19&lt;=60),"51–60")</f>
        <v>36–40</v>
      </c>
    </row>
    <row r="20" spans="1:14" x14ac:dyDescent="0.35">
      <c r="A20" t="s">
        <v>71</v>
      </c>
      <c r="B20" t="s">
        <v>72</v>
      </c>
      <c r="C20" t="s">
        <v>41</v>
      </c>
      <c r="D20">
        <v>45</v>
      </c>
      <c r="E20" t="s">
        <v>66</v>
      </c>
      <c r="F20" t="s">
        <v>16</v>
      </c>
      <c r="G20" t="s">
        <v>53</v>
      </c>
      <c r="H20" s="1">
        <v>45233</v>
      </c>
      <c r="J20">
        <v>44000</v>
      </c>
      <c r="K20">
        <v>0</v>
      </c>
      <c r="L20" t="s">
        <v>24</v>
      </c>
      <c r="M20">
        <f ca="1">IF(ISBLANK(Table1[[#This Row],[Exit]]),DATEDIF(Table1[[#This Row],[Hire]],TODAY(),"Y"),DATEDIF(Table1[[#This Row],[Hire]],Table1[[#This Row],[Exit]],"Y"))</f>
        <v>2</v>
      </c>
      <c r="N20" t="str" cm="1">
        <f t="array" ref="N20">_xlfn.IFS(
AND(D20&gt;=26,D20&lt;=30),"26–30",
AND(D20&gt;=31,D20&lt;=35),"31–35",
AND(D20&gt;=36,D20&lt;=40),"36–40",
AND(D20&gt;=41,D20&lt;=45),"41–45",
AND(D20&gt;=46,D20&lt;=50),"46–50",
AND(D20&gt;=51,D20&lt;=60),"51–60")</f>
        <v>41–45</v>
      </c>
    </row>
    <row r="21" spans="1:14" x14ac:dyDescent="0.35">
      <c r="A21" t="s">
        <v>73</v>
      </c>
      <c r="B21" t="s">
        <v>74</v>
      </c>
      <c r="C21" t="s">
        <v>14</v>
      </c>
      <c r="D21">
        <v>26</v>
      </c>
      <c r="E21" t="s">
        <v>58</v>
      </c>
      <c r="F21" t="s">
        <v>59</v>
      </c>
      <c r="G21" t="s">
        <v>53</v>
      </c>
      <c r="H21" s="1">
        <v>45412</v>
      </c>
      <c r="J21">
        <v>46000</v>
      </c>
      <c r="K21">
        <v>0</v>
      </c>
      <c r="L21" t="s">
        <v>24</v>
      </c>
      <c r="M21">
        <f ca="1">IF(ISBLANK(Table1[[#This Row],[Exit]]),DATEDIF(Table1[[#This Row],[Hire]],TODAY(),"Y"),DATEDIF(Table1[[#This Row],[Hire]],Table1[[#This Row],[Exit]],"Y"))</f>
        <v>1</v>
      </c>
      <c r="N21" t="str" cm="1">
        <f t="array" ref="N21">_xlfn.IFS(
AND(D21&gt;=26,D21&lt;=30),"26–30",
AND(D21&gt;=31,D21&lt;=35),"31–35",
AND(D21&gt;=36,D21&lt;=40),"36–40",
AND(D21&gt;=41,D21&lt;=45),"41–45",
AND(D21&gt;=46,D21&lt;=50),"46–50",
AND(D21&gt;=51,D21&lt;=60),"51–60")</f>
        <v>26–30</v>
      </c>
    </row>
    <row r="22" spans="1:14" x14ac:dyDescent="0.35">
      <c r="A22" t="s">
        <v>75</v>
      </c>
      <c r="B22" t="s">
        <v>76</v>
      </c>
      <c r="C22" t="s">
        <v>21</v>
      </c>
      <c r="D22">
        <v>35</v>
      </c>
      <c r="E22" t="s">
        <v>15</v>
      </c>
      <c r="F22" t="s">
        <v>16</v>
      </c>
      <c r="G22" t="s">
        <v>53</v>
      </c>
      <c r="H22" s="1">
        <v>43887</v>
      </c>
      <c r="I22" s="1">
        <v>44446</v>
      </c>
      <c r="J22">
        <v>48000</v>
      </c>
      <c r="K22">
        <v>0</v>
      </c>
      <c r="L22" t="s">
        <v>18</v>
      </c>
      <c r="M22">
        <f ca="1">IF(ISBLANK(Table1[[#This Row],[Exit]]),DATEDIF(Table1[[#This Row],[Hire]],TODAY(),"Y"),DATEDIF(Table1[[#This Row],[Hire]],Table1[[#This Row],[Exit]],"Y"))</f>
        <v>1</v>
      </c>
      <c r="N22" t="str" cm="1">
        <f t="array" ref="N22">_xlfn.IFS(
AND(D22&gt;=26,D22&lt;=30),"26–30",
AND(D22&gt;=31,D22&lt;=35),"31–35",
AND(D22&gt;=36,D22&lt;=40),"36–40",
AND(D22&gt;=41,D22&lt;=45),"41–45",
AND(D22&gt;=46,D22&lt;=50),"46–50",
AND(D22&gt;=51,D22&lt;=60),"51–60")</f>
        <v>31–35</v>
      </c>
    </row>
    <row r="23" spans="1:14" x14ac:dyDescent="0.35">
      <c r="A23" t="s">
        <v>77</v>
      </c>
      <c r="B23" t="s">
        <v>78</v>
      </c>
      <c r="C23" t="s">
        <v>14</v>
      </c>
      <c r="D23">
        <v>29</v>
      </c>
      <c r="E23" t="s">
        <v>22</v>
      </c>
      <c r="F23" t="s">
        <v>16</v>
      </c>
      <c r="G23" t="s">
        <v>53</v>
      </c>
      <c r="H23" s="1">
        <v>44815</v>
      </c>
      <c r="J23">
        <v>50000</v>
      </c>
      <c r="K23">
        <v>0</v>
      </c>
      <c r="L23" t="s">
        <v>24</v>
      </c>
      <c r="M23">
        <f ca="1">IF(ISBLANK(Table1[[#This Row],[Exit]]),DATEDIF(Table1[[#This Row],[Hire]],TODAY(),"Y"),DATEDIF(Table1[[#This Row],[Hire]],Table1[[#This Row],[Exit]],"Y"))</f>
        <v>3</v>
      </c>
      <c r="N23" t="str" cm="1">
        <f t="array" ref="N23">_xlfn.IFS(
AND(D23&gt;=26,D23&lt;=30),"26–30",
AND(D23&gt;=31,D23&lt;=35),"31–35",
AND(D23&gt;=36,D23&lt;=40),"36–40",
AND(D23&gt;=41,D23&lt;=45),"41–45",
AND(D23&gt;=46,D23&lt;=50),"46–50",
AND(D23&gt;=51,D23&lt;=60),"51–60")</f>
        <v>26–30</v>
      </c>
    </row>
    <row r="24" spans="1:14" x14ac:dyDescent="0.35">
      <c r="A24" t="s">
        <v>79</v>
      </c>
      <c r="B24" t="s">
        <v>80</v>
      </c>
      <c r="C24" t="s">
        <v>14</v>
      </c>
      <c r="D24">
        <v>35</v>
      </c>
      <c r="E24" t="s">
        <v>81</v>
      </c>
      <c r="F24" t="s">
        <v>43</v>
      </c>
      <c r="G24" t="s">
        <v>53</v>
      </c>
      <c r="H24" s="1">
        <v>45430</v>
      </c>
      <c r="J24">
        <v>52000</v>
      </c>
      <c r="K24">
        <v>0</v>
      </c>
      <c r="L24" t="s">
        <v>24</v>
      </c>
      <c r="M24">
        <f ca="1">IF(ISBLANK(Table1[[#This Row],[Exit]]),DATEDIF(Table1[[#This Row],[Hire]],TODAY(),"Y"),DATEDIF(Table1[[#This Row],[Hire]],Table1[[#This Row],[Exit]],"Y"))</f>
        <v>1</v>
      </c>
      <c r="N24" t="str" cm="1">
        <f t="array" ref="N24">_xlfn.IFS(
AND(D24&gt;=26,D24&lt;=30),"26–30",
AND(D24&gt;=31,D24&lt;=35),"31–35",
AND(D24&gt;=36,D24&lt;=40),"36–40",
AND(D24&gt;=41,D24&lt;=45),"41–45",
AND(D24&gt;=46,D24&lt;=50),"46–50",
AND(D24&gt;=51,D24&lt;=60),"51–60")</f>
        <v>31–35</v>
      </c>
    </row>
    <row r="25" spans="1:14" x14ac:dyDescent="0.35">
      <c r="A25" t="s">
        <v>82</v>
      </c>
      <c r="B25" t="s">
        <v>83</v>
      </c>
      <c r="C25" t="s">
        <v>21</v>
      </c>
      <c r="D25">
        <v>27</v>
      </c>
      <c r="E25" t="s">
        <v>52</v>
      </c>
      <c r="F25" t="s">
        <v>16</v>
      </c>
      <c r="G25" t="s">
        <v>17</v>
      </c>
      <c r="H25" s="1">
        <v>44509</v>
      </c>
      <c r="J25">
        <v>54000</v>
      </c>
      <c r="K25">
        <v>0.12</v>
      </c>
      <c r="L25" t="s">
        <v>24</v>
      </c>
      <c r="M25">
        <f ca="1">IF(ISBLANK(Table1[[#This Row],[Exit]]),DATEDIF(Table1[[#This Row],[Hire]],TODAY(),"Y"),DATEDIF(Table1[[#This Row],[Hire]],Table1[[#This Row],[Exit]],"Y"))</f>
        <v>4</v>
      </c>
      <c r="N25" t="str" cm="1">
        <f t="array" ref="N25">_xlfn.IFS(
AND(D25&gt;=26,D25&lt;=30),"26–30",
AND(D25&gt;=31,D25&lt;=35),"31–35",
AND(D25&gt;=36,D25&lt;=40),"36–40",
AND(D25&gt;=41,D25&lt;=45),"41–45",
AND(D25&gt;=46,D25&lt;=50),"46–50",
AND(D25&gt;=51,D25&lt;=60),"51–60")</f>
        <v>26–30</v>
      </c>
    </row>
    <row r="26" spans="1:14" x14ac:dyDescent="0.35">
      <c r="A26" t="s">
        <v>84</v>
      </c>
      <c r="B26" t="s">
        <v>85</v>
      </c>
      <c r="C26" t="s">
        <v>21</v>
      </c>
      <c r="D26">
        <v>26</v>
      </c>
      <c r="E26" t="s">
        <v>66</v>
      </c>
      <c r="F26" t="s">
        <v>16</v>
      </c>
      <c r="G26" t="s">
        <v>23</v>
      </c>
      <c r="H26" s="1">
        <v>43963</v>
      </c>
      <c r="I26" s="1">
        <v>44857</v>
      </c>
      <c r="J26">
        <v>56000</v>
      </c>
      <c r="K26">
        <v>0.15</v>
      </c>
      <c r="L26" t="s">
        <v>18</v>
      </c>
      <c r="M26">
        <f ca="1">IF(ISBLANK(Table1[[#This Row],[Exit]]),DATEDIF(Table1[[#This Row],[Hire]],TODAY(),"Y"),DATEDIF(Table1[[#This Row],[Hire]],Table1[[#This Row],[Exit]],"Y"))</f>
        <v>2</v>
      </c>
      <c r="N26" t="str" cm="1">
        <f t="array" ref="N26">_xlfn.IFS(
AND(D26&gt;=26,D26&lt;=30),"26–30",
AND(D26&gt;=31,D26&lt;=35),"31–35",
AND(D26&gt;=36,D26&lt;=40),"36–40",
AND(D26&gt;=41,D26&lt;=45),"41–45",
AND(D26&gt;=46,D26&lt;=50),"46–50",
AND(D26&gt;=51,D26&lt;=60),"51–60")</f>
        <v>26–30</v>
      </c>
    </row>
    <row r="27" spans="1:14" x14ac:dyDescent="0.35">
      <c r="A27" t="s">
        <v>86</v>
      </c>
      <c r="B27" t="s">
        <v>87</v>
      </c>
      <c r="C27" t="s">
        <v>21</v>
      </c>
      <c r="D27">
        <v>27</v>
      </c>
      <c r="E27" t="s">
        <v>31</v>
      </c>
      <c r="F27" t="s">
        <v>16</v>
      </c>
      <c r="G27" t="s">
        <v>53</v>
      </c>
      <c r="H27" s="1">
        <v>44815</v>
      </c>
      <c r="J27">
        <v>58000</v>
      </c>
      <c r="K27">
        <v>0</v>
      </c>
      <c r="L27" t="s">
        <v>24</v>
      </c>
      <c r="M27">
        <f ca="1">IF(ISBLANK(Table1[[#This Row],[Exit]]),DATEDIF(Table1[[#This Row],[Hire]],TODAY(),"Y"),DATEDIF(Table1[[#This Row],[Hire]],Table1[[#This Row],[Exit]],"Y"))</f>
        <v>3</v>
      </c>
      <c r="N27" t="str" cm="1">
        <f t="array" ref="N27">_xlfn.IFS(
AND(D27&gt;=26,D27&lt;=30),"26–30",
AND(D27&gt;=31,D27&lt;=35),"31–35",
AND(D27&gt;=36,D27&lt;=40),"36–40",
AND(D27&gt;=41,D27&lt;=45),"41–45",
AND(D27&gt;=46,D27&lt;=50),"46–50",
AND(D27&gt;=51,D27&lt;=60),"51–60")</f>
        <v>26–30</v>
      </c>
    </row>
    <row r="28" spans="1:14" x14ac:dyDescent="0.35">
      <c r="A28" t="s">
        <v>88</v>
      </c>
      <c r="B28" t="s">
        <v>89</v>
      </c>
      <c r="C28" t="s">
        <v>21</v>
      </c>
      <c r="D28">
        <v>30</v>
      </c>
      <c r="E28" t="s">
        <v>81</v>
      </c>
      <c r="F28" t="s">
        <v>49</v>
      </c>
      <c r="G28" t="s">
        <v>34</v>
      </c>
      <c r="H28" s="1">
        <v>44857</v>
      </c>
      <c r="J28">
        <v>60000</v>
      </c>
      <c r="K28">
        <v>0</v>
      </c>
      <c r="L28" t="s">
        <v>24</v>
      </c>
      <c r="M28">
        <f ca="1">IF(ISBLANK(Table1[[#This Row],[Exit]]),DATEDIF(Table1[[#This Row],[Hire]],TODAY(),"Y"),DATEDIF(Table1[[#This Row],[Hire]],Table1[[#This Row],[Exit]],"Y"))</f>
        <v>3</v>
      </c>
      <c r="N28" t="str" cm="1">
        <f t="array" ref="N28">_xlfn.IFS(
AND(D28&gt;=26,D28&lt;=30),"26–30",
AND(D28&gt;=31,D28&lt;=35),"31–35",
AND(D28&gt;=36,D28&lt;=40),"36–40",
AND(D28&gt;=41,D28&lt;=45),"41–45",
AND(D28&gt;=46,D28&lt;=50),"46–50",
AND(D28&gt;=51,D28&lt;=60),"51–60")</f>
        <v>26–30</v>
      </c>
    </row>
    <row r="29" spans="1:14" x14ac:dyDescent="0.35">
      <c r="A29" t="s">
        <v>90</v>
      </c>
      <c r="B29" t="s">
        <v>91</v>
      </c>
      <c r="C29" t="s">
        <v>14</v>
      </c>
      <c r="D29">
        <v>36</v>
      </c>
      <c r="E29" t="s">
        <v>92</v>
      </c>
      <c r="F29" t="s">
        <v>59</v>
      </c>
      <c r="G29" t="s">
        <v>53</v>
      </c>
      <c r="H29" s="1">
        <v>44066</v>
      </c>
      <c r="I29" s="1">
        <v>45430</v>
      </c>
      <c r="J29">
        <v>62000</v>
      </c>
      <c r="K29">
        <v>0</v>
      </c>
      <c r="L29" t="s">
        <v>18</v>
      </c>
      <c r="M29">
        <f ca="1">IF(ISBLANK(Table1[[#This Row],[Exit]]),DATEDIF(Table1[[#This Row],[Hire]],TODAY(),"Y"),DATEDIF(Table1[[#This Row],[Hire]],Table1[[#This Row],[Exit]],"Y"))</f>
        <v>3</v>
      </c>
      <c r="N29" t="str" cm="1">
        <f t="array" ref="N29">_xlfn.IFS(
AND(D29&gt;=26,D29&lt;=30),"26–30",
AND(D29&gt;=31,D29&lt;=35),"31–35",
AND(D29&gt;=36,D29&lt;=40),"36–40",
AND(D29&gt;=41,D29&lt;=45),"41–45",
AND(D29&gt;=46,D29&lt;=50),"46–50",
AND(D29&gt;=51,D29&lt;=60),"51–60")</f>
        <v>36–40</v>
      </c>
    </row>
    <row r="30" spans="1:14" x14ac:dyDescent="0.35">
      <c r="A30" t="s">
        <v>93</v>
      </c>
      <c r="B30" t="s">
        <v>94</v>
      </c>
      <c r="C30" t="s">
        <v>21</v>
      </c>
      <c r="D30">
        <v>45</v>
      </c>
      <c r="E30" t="s">
        <v>81</v>
      </c>
      <c r="F30" t="s">
        <v>46</v>
      </c>
      <c r="G30" t="s">
        <v>23</v>
      </c>
      <c r="H30" s="1">
        <v>45237</v>
      </c>
      <c r="J30">
        <v>64000</v>
      </c>
      <c r="K30">
        <v>0</v>
      </c>
      <c r="L30" t="s">
        <v>24</v>
      </c>
      <c r="M30">
        <f ca="1">IF(ISBLANK(Table1[[#This Row],[Exit]]),DATEDIF(Table1[[#This Row],[Hire]],TODAY(),"Y"),DATEDIF(Table1[[#This Row],[Hire]],Table1[[#This Row],[Exit]],"Y"))</f>
        <v>2</v>
      </c>
      <c r="N30" t="str" cm="1">
        <f t="array" ref="N30">_xlfn.IFS(
AND(D30&gt;=26,D30&lt;=30),"26–30",
AND(D30&gt;=31,D30&lt;=35),"31–35",
AND(D30&gt;=36,D30&lt;=40),"36–40",
AND(D30&gt;=41,D30&lt;=45),"41–45",
AND(D30&gt;=46,D30&lt;=50),"46–50",
AND(D30&gt;=51,D30&lt;=60),"51–60")</f>
        <v>41–45</v>
      </c>
    </row>
    <row r="31" spans="1:14" x14ac:dyDescent="0.35">
      <c r="A31" t="s">
        <v>95</v>
      </c>
      <c r="B31" t="s">
        <v>96</v>
      </c>
      <c r="C31" t="s">
        <v>14</v>
      </c>
      <c r="D31">
        <v>37</v>
      </c>
      <c r="E31" t="s">
        <v>22</v>
      </c>
      <c r="F31" t="s">
        <v>16</v>
      </c>
      <c r="G31" t="s">
        <v>34</v>
      </c>
      <c r="H31" s="1">
        <v>45206</v>
      </c>
      <c r="J31">
        <v>66000</v>
      </c>
      <c r="K31">
        <v>0</v>
      </c>
      <c r="L31" t="s">
        <v>24</v>
      </c>
      <c r="M31">
        <f ca="1">IF(ISBLANK(Table1[[#This Row],[Exit]]),DATEDIF(Table1[[#This Row],[Hire]],TODAY(),"Y"),DATEDIF(Table1[[#This Row],[Hire]],Table1[[#This Row],[Exit]],"Y"))</f>
        <v>2</v>
      </c>
      <c r="N31" t="str" cm="1">
        <f t="array" ref="N31">_xlfn.IFS(
AND(D31&gt;=26,D31&lt;=30),"26–30",
AND(D31&gt;=31,D31&lt;=35),"31–35",
AND(D31&gt;=36,D31&lt;=40),"36–40",
AND(D31&gt;=41,D31&lt;=45),"41–45",
AND(D31&gt;=46,D31&lt;=50),"46–50",
AND(D31&gt;=51,D31&lt;=60),"51–60")</f>
        <v>36–40</v>
      </c>
    </row>
    <row r="32" spans="1:14" x14ac:dyDescent="0.35">
      <c r="A32" t="s">
        <v>97</v>
      </c>
      <c r="B32" t="s">
        <v>98</v>
      </c>
      <c r="C32" t="s">
        <v>14</v>
      </c>
      <c r="D32">
        <v>32</v>
      </c>
      <c r="E32" t="s">
        <v>92</v>
      </c>
      <c r="F32" t="s">
        <v>59</v>
      </c>
      <c r="G32" t="s">
        <v>34</v>
      </c>
      <c r="H32" s="1">
        <v>44677</v>
      </c>
      <c r="J32">
        <v>68000</v>
      </c>
      <c r="K32">
        <v>0.12</v>
      </c>
      <c r="L32" t="s">
        <v>24</v>
      </c>
      <c r="M32">
        <f ca="1">IF(ISBLANK(Table1[[#This Row],[Exit]]),DATEDIF(Table1[[#This Row],[Hire]],TODAY(),"Y"),DATEDIF(Table1[[#This Row],[Hire]],Table1[[#This Row],[Exit]],"Y"))</f>
        <v>3</v>
      </c>
      <c r="N32" t="str" cm="1">
        <f t="array" ref="N32">_xlfn.IFS(
AND(D32&gt;=26,D32&lt;=30),"26–30",
AND(D32&gt;=31,D32&lt;=35),"31–35",
AND(D32&gt;=36,D32&lt;=40),"36–40",
AND(D32&gt;=41,D32&lt;=45),"41–45",
AND(D32&gt;=46,D32&lt;=50),"46–50",
AND(D32&gt;=51,D32&lt;=60),"51–60")</f>
        <v>31–35</v>
      </c>
    </row>
    <row r="33" spans="1:14" x14ac:dyDescent="0.35">
      <c r="A33" t="s">
        <v>99</v>
      </c>
      <c r="B33" t="s">
        <v>100</v>
      </c>
      <c r="C33" t="s">
        <v>14</v>
      </c>
      <c r="D33">
        <v>45</v>
      </c>
      <c r="E33" t="s">
        <v>31</v>
      </c>
      <c r="F33" t="s">
        <v>16</v>
      </c>
      <c r="G33" t="s">
        <v>17</v>
      </c>
      <c r="H33" s="1">
        <v>43889</v>
      </c>
      <c r="J33">
        <v>70000</v>
      </c>
      <c r="K33">
        <v>0.15</v>
      </c>
      <c r="L33" t="s">
        <v>24</v>
      </c>
      <c r="M33">
        <f ca="1">IF(ISBLANK(Table1[[#This Row],[Exit]]),DATEDIF(Table1[[#This Row],[Hire]],TODAY(),"Y"),DATEDIF(Table1[[#This Row],[Hire]],Table1[[#This Row],[Exit]],"Y"))</f>
        <v>5</v>
      </c>
      <c r="N33" t="str" cm="1">
        <f t="array" ref="N33">_xlfn.IFS(
AND(D33&gt;=26,D33&lt;=30),"26–30",
AND(D33&gt;=31,D33&lt;=35),"31–35",
AND(D33&gt;=36,D33&lt;=40),"36–40",
AND(D33&gt;=41,D33&lt;=45),"41–45",
AND(D33&gt;=46,D33&lt;=50),"46–50",
AND(D33&gt;=51,D33&lt;=60),"51–60")</f>
        <v>41–45</v>
      </c>
    </row>
    <row r="34" spans="1:14" x14ac:dyDescent="0.35">
      <c r="A34" t="s">
        <v>101</v>
      </c>
      <c r="B34" t="s">
        <v>102</v>
      </c>
      <c r="C34" t="s">
        <v>14</v>
      </c>
      <c r="D34">
        <v>51</v>
      </c>
      <c r="E34" t="s">
        <v>15</v>
      </c>
      <c r="F34" t="s">
        <v>16</v>
      </c>
      <c r="G34" t="s">
        <v>17</v>
      </c>
      <c r="H34" s="1">
        <v>44116</v>
      </c>
      <c r="J34">
        <v>72000</v>
      </c>
      <c r="K34">
        <v>0.15</v>
      </c>
      <c r="L34" t="s">
        <v>24</v>
      </c>
      <c r="M34">
        <f ca="1">IF(ISBLANK(Table1[[#This Row],[Exit]]),DATEDIF(Table1[[#This Row],[Hire]],TODAY(),"Y"),DATEDIF(Table1[[#This Row],[Hire]],Table1[[#This Row],[Exit]],"Y"))</f>
        <v>5</v>
      </c>
      <c r="N34" t="str" cm="1">
        <f t="array" ref="N34">_xlfn.IFS(
AND(D34&gt;=26,D34&lt;=30),"26–30",
AND(D34&gt;=31,D34&lt;=35),"31–35",
AND(D34&gt;=36,D34&lt;=40),"36–40",
AND(D34&gt;=41,D34&lt;=45),"41–45",
AND(D34&gt;=46,D34&lt;=50),"46–50",
AND(D34&gt;=51,D34&lt;=60),"51–60")</f>
        <v>51–60</v>
      </c>
    </row>
    <row r="35" spans="1:14" x14ac:dyDescent="0.35">
      <c r="A35" t="s">
        <v>103</v>
      </c>
      <c r="B35" t="s">
        <v>104</v>
      </c>
      <c r="C35" t="s">
        <v>14</v>
      </c>
      <c r="D35">
        <v>56</v>
      </c>
      <c r="E35" t="s">
        <v>22</v>
      </c>
      <c r="F35" t="s">
        <v>16</v>
      </c>
      <c r="G35" t="s">
        <v>23</v>
      </c>
      <c r="H35" s="1">
        <v>44588</v>
      </c>
      <c r="J35">
        <v>74000</v>
      </c>
      <c r="K35">
        <v>0.1</v>
      </c>
      <c r="L35" t="s">
        <v>24</v>
      </c>
      <c r="M35">
        <f ca="1">IF(ISBLANK(Table1[[#This Row],[Exit]]),DATEDIF(Table1[[#This Row],[Hire]],TODAY(),"Y"),DATEDIF(Table1[[#This Row],[Hire]],Table1[[#This Row],[Exit]],"Y"))</f>
        <v>4</v>
      </c>
      <c r="N35" t="str" cm="1">
        <f t="array" ref="N35">_xlfn.IFS(
AND(D35&gt;=26,D35&lt;=30),"26–30",
AND(D35&gt;=31,D35&lt;=35),"31–35",
AND(D35&gt;=36,D35&lt;=40),"36–40",
AND(D35&gt;=41,D35&lt;=45),"41–45",
AND(D35&gt;=46,D35&lt;=50),"46–50",
AND(D35&gt;=51,D35&lt;=60),"51–60")</f>
        <v>51–60</v>
      </c>
    </row>
    <row r="36" spans="1:14" x14ac:dyDescent="0.35">
      <c r="A36" t="s">
        <v>105</v>
      </c>
      <c r="B36" t="s">
        <v>106</v>
      </c>
      <c r="C36" t="s">
        <v>21</v>
      </c>
      <c r="D36">
        <v>53</v>
      </c>
      <c r="E36" t="s">
        <v>27</v>
      </c>
      <c r="F36" t="s">
        <v>28</v>
      </c>
      <c r="G36" t="s">
        <v>17</v>
      </c>
      <c r="H36" s="1">
        <v>43876</v>
      </c>
      <c r="I36" s="1">
        <v>45145</v>
      </c>
      <c r="J36">
        <v>76000</v>
      </c>
      <c r="K36">
        <v>0</v>
      </c>
      <c r="L36" t="s">
        <v>18</v>
      </c>
      <c r="M36">
        <f ca="1">IF(ISBLANK(Table1[[#This Row],[Exit]]),DATEDIF(Table1[[#This Row],[Hire]],TODAY(),"Y"),DATEDIF(Table1[[#This Row],[Hire]],Table1[[#This Row],[Exit]],"Y"))</f>
        <v>3</v>
      </c>
      <c r="N36" t="str" cm="1">
        <f t="array" ref="N36">_xlfn.IFS(
AND(D36&gt;=26,D36&lt;=30),"26–30",
AND(D36&gt;=31,D36&lt;=35),"31–35",
AND(D36&gt;=36,D36&lt;=40),"36–40",
AND(D36&gt;=41,D36&lt;=45),"41–45",
AND(D36&gt;=46,D36&lt;=50),"46–50",
AND(D36&gt;=51,D36&lt;=60),"51–60")</f>
        <v>51–60</v>
      </c>
    </row>
    <row r="37" spans="1:14" x14ac:dyDescent="0.35">
      <c r="A37" t="s">
        <v>107</v>
      </c>
      <c r="B37" t="s">
        <v>108</v>
      </c>
      <c r="C37" t="s">
        <v>14</v>
      </c>
      <c r="D37">
        <v>47</v>
      </c>
      <c r="E37" t="s">
        <v>31</v>
      </c>
      <c r="F37" t="s">
        <v>16</v>
      </c>
      <c r="G37" t="s">
        <v>23</v>
      </c>
      <c r="H37" s="1">
        <v>43871</v>
      </c>
      <c r="I37" s="1">
        <v>44251</v>
      </c>
      <c r="J37">
        <v>78000</v>
      </c>
      <c r="K37">
        <v>0.13</v>
      </c>
      <c r="L37" t="s">
        <v>18</v>
      </c>
      <c r="M37">
        <f ca="1">IF(ISBLANK(Table1[[#This Row],[Exit]]),DATEDIF(Table1[[#This Row],[Hire]],TODAY(),"Y"),DATEDIF(Table1[[#This Row],[Hire]],Table1[[#This Row],[Exit]],"Y"))</f>
        <v>1</v>
      </c>
      <c r="N37" t="str" cm="1">
        <f t="array" ref="N37">_xlfn.IFS(
AND(D37&gt;=26,D37&lt;=30),"26–30",
AND(D37&gt;=31,D37&lt;=35),"31–35",
AND(D37&gt;=36,D37&lt;=40),"36–40",
AND(D37&gt;=41,D37&lt;=45),"41–45",
AND(D37&gt;=46,D37&lt;=50),"46–50",
AND(D37&gt;=51,D37&lt;=60),"51–60")</f>
        <v>46–50</v>
      </c>
    </row>
    <row r="38" spans="1:14" x14ac:dyDescent="0.35">
      <c r="A38" t="s">
        <v>109</v>
      </c>
      <c r="B38" t="s">
        <v>110</v>
      </c>
      <c r="C38" t="s">
        <v>14</v>
      </c>
      <c r="D38">
        <v>36</v>
      </c>
      <c r="E38" t="s">
        <v>27</v>
      </c>
      <c r="F38" t="s">
        <v>28</v>
      </c>
      <c r="G38" t="s">
        <v>34</v>
      </c>
      <c r="H38" s="1">
        <v>44183</v>
      </c>
      <c r="J38">
        <v>80000</v>
      </c>
      <c r="K38">
        <v>0.37</v>
      </c>
      <c r="L38" t="s">
        <v>24</v>
      </c>
      <c r="M38">
        <f ca="1">IF(ISBLANK(Table1[[#This Row],[Exit]]),DATEDIF(Table1[[#This Row],[Hire]],TODAY(),"Y"),DATEDIF(Table1[[#This Row],[Hire]],Table1[[#This Row],[Exit]],"Y"))</f>
        <v>5</v>
      </c>
      <c r="N38" t="str" cm="1">
        <f t="array" ref="N38">_xlfn.IFS(
AND(D38&gt;=26,D38&lt;=30),"26–30",
AND(D38&gt;=31,D38&lt;=35),"31–35",
AND(D38&gt;=36,D38&lt;=40),"36–40",
AND(D38&gt;=41,D38&lt;=45),"41–45",
AND(D38&gt;=46,D38&lt;=50),"46–50",
AND(D38&gt;=51,D38&lt;=60),"51–60")</f>
        <v>36–40</v>
      </c>
    </row>
    <row r="39" spans="1:14" x14ac:dyDescent="0.35">
      <c r="A39" t="s">
        <v>111</v>
      </c>
      <c r="B39" t="s">
        <v>112</v>
      </c>
      <c r="C39" t="s">
        <v>14</v>
      </c>
      <c r="D39">
        <v>41</v>
      </c>
      <c r="E39" t="s">
        <v>15</v>
      </c>
      <c r="F39" t="s">
        <v>16</v>
      </c>
      <c r="G39" t="s">
        <v>23</v>
      </c>
      <c r="H39" s="1">
        <v>43837</v>
      </c>
      <c r="J39">
        <v>82000</v>
      </c>
      <c r="K39">
        <v>0</v>
      </c>
      <c r="L39" t="s">
        <v>24</v>
      </c>
      <c r="M39">
        <f ca="1">IF(ISBLANK(Table1[[#This Row],[Exit]]),DATEDIF(Table1[[#This Row],[Hire]],TODAY(),"Y"),DATEDIF(Table1[[#This Row],[Hire]],Table1[[#This Row],[Exit]],"Y"))</f>
        <v>6</v>
      </c>
      <c r="N39" t="str" cm="1">
        <f t="array" ref="N39">_xlfn.IFS(
AND(D39&gt;=26,D39&lt;=30),"26–30",
AND(D39&gt;=31,D39&lt;=35),"31–35",
AND(D39&gt;=36,D39&lt;=40),"36–40",
AND(D39&gt;=41,D39&lt;=45),"41–45",
AND(D39&gt;=46,D39&lt;=50),"46–50",
AND(D39&gt;=51,D39&lt;=60),"51–60")</f>
        <v>41–45</v>
      </c>
    </row>
    <row r="40" spans="1:14" x14ac:dyDescent="0.35">
      <c r="A40" t="s">
        <v>113</v>
      </c>
      <c r="B40" t="s">
        <v>114</v>
      </c>
      <c r="C40" t="s">
        <v>21</v>
      </c>
      <c r="D40">
        <v>30</v>
      </c>
      <c r="E40" t="s">
        <v>15</v>
      </c>
      <c r="F40" t="s">
        <v>16</v>
      </c>
      <c r="G40" t="s">
        <v>34</v>
      </c>
      <c r="H40" s="1">
        <v>45206</v>
      </c>
      <c r="J40">
        <v>84000</v>
      </c>
      <c r="K40">
        <v>0</v>
      </c>
      <c r="L40" t="s">
        <v>24</v>
      </c>
      <c r="M40">
        <f ca="1">IF(ISBLANK(Table1[[#This Row],[Exit]]),DATEDIF(Table1[[#This Row],[Hire]],TODAY(),"Y"),DATEDIF(Table1[[#This Row],[Hire]],Table1[[#This Row],[Exit]],"Y"))</f>
        <v>2</v>
      </c>
      <c r="N40" t="str" cm="1">
        <f t="array" ref="N40">_xlfn.IFS(
AND(D40&gt;=26,D40&lt;=30),"26–30",
AND(D40&gt;=31,D40&lt;=35),"31–35",
AND(D40&gt;=36,D40&lt;=40),"36–40",
AND(D40&gt;=41,D40&lt;=45),"41–45",
AND(D40&gt;=46,D40&lt;=50),"46–50",
AND(D40&gt;=51,D40&lt;=60),"51–60")</f>
        <v>26–30</v>
      </c>
    </row>
    <row r="41" spans="1:14" x14ac:dyDescent="0.35">
      <c r="A41" t="s">
        <v>115</v>
      </c>
      <c r="B41" t="s">
        <v>116</v>
      </c>
      <c r="C41" t="s">
        <v>21</v>
      </c>
      <c r="D41">
        <v>30</v>
      </c>
      <c r="E41" t="s">
        <v>42</v>
      </c>
      <c r="F41" t="s">
        <v>43</v>
      </c>
      <c r="G41" t="s">
        <v>34</v>
      </c>
      <c r="H41" s="1">
        <v>44852</v>
      </c>
      <c r="I41" s="1">
        <v>45344</v>
      </c>
      <c r="J41">
        <v>86000</v>
      </c>
      <c r="K41">
        <v>0</v>
      </c>
      <c r="L41" t="s">
        <v>18</v>
      </c>
      <c r="M41">
        <f ca="1">IF(ISBLANK(Table1[[#This Row],[Exit]]),DATEDIF(Table1[[#This Row],[Hire]],TODAY(),"Y"),DATEDIF(Table1[[#This Row],[Hire]],Table1[[#This Row],[Exit]],"Y"))</f>
        <v>1</v>
      </c>
      <c r="N41" t="str" cm="1">
        <f t="array" ref="N41">_xlfn.IFS(
AND(D41&gt;=26,D41&lt;=30),"26–30",
AND(D41&gt;=31,D41&lt;=35),"31–35",
AND(D41&gt;=36,D41&lt;=40),"36–40",
AND(D41&gt;=41,D41&lt;=45),"41–45",
AND(D41&gt;=46,D41&lt;=50),"46–50",
AND(D41&gt;=51,D41&lt;=60),"51–60")</f>
        <v>26–30</v>
      </c>
    </row>
    <row r="42" spans="1:14" x14ac:dyDescent="0.35">
      <c r="A42" t="s">
        <v>117</v>
      </c>
      <c r="B42" t="s">
        <v>118</v>
      </c>
      <c r="C42" t="s">
        <v>41</v>
      </c>
      <c r="D42">
        <v>38</v>
      </c>
      <c r="E42" t="s">
        <v>42</v>
      </c>
      <c r="F42" t="s">
        <v>46</v>
      </c>
      <c r="G42" t="s">
        <v>23</v>
      </c>
      <c r="H42" s="1">
        <v>44791</v>
      </c>
      <c r="J42">
        <v>88000</v>
      </c>
      <c r="K42">
        <v>7.0000000000000007E-2</v>
      </c>
      <c r="L42" t="s">
        <v>24</v>
      </c>
      <c r="M42">
        <f ca="1">IF(ISBLANK(Table1[[#This Row],[Exit]]),DATEDIF(Table1[[#This Row],[Hire]],TODAY(),"Y"),DATEDIF(Table1[[#This Row],[Hire]],Table1[[#This Row],[Exit]],"Y"))</f>
        <v>3</v>
      </c>
      <c r="N42" t="str" cm="1">
        <f t="array" ref="N42">_xlfn.IFS(
AND(D42&gt;=26,D42&lt;=30),"26–30",
AND(D42&gt;=31,D42&lt;=35),"31–35",
AND(D42&gt;=36,D42&lt;=40),"36–40",
AND(D42&gt;=41,D42&lt;=45),"41–45",
AND(D42&gt;=46,D42&lt;=50),"46–50",
AND(D42&gt;=51,D42&lt;=60),"51–60")</f>
        <v>36–40</v>
      </c>
    </row>
    <row r="43" spans="1:14" x14ac:dyDescent="0.35">
      <c r="A43" t="s">
        <v>119</v>
      </c>
      <c r="B43" t="s">
        <v>120</v>
      </c>
      <c r="C43" t="s">
        <v>14</v>
      </c>
      <c r="D43">
        <v>28</v>
      </c>
      <c r="E43" t="s">
        <v>42</v>
      </c>
      <c r="F43" t="s">
        <v>49</v>
      </c>
      <c r="G43" t="s">
        <v>17</v>
      </c>
      <c r="H43" s="1">
        <v>44709</v>
      </c>
      <c r="I43" s="1">
        <v>45430</v>
      </c>
      <c r="J43">
        <v>90000</v>
      </c>
      <c r="K43">
        <v>0.35</v>
      </c>
      <c r="L43" t="s">
        <v>18</v>
      </c>
      <c r="M43">
        <f ca="1">IF(ISBLANK(Table1[[#This Row],[Exit]]),DATEDIF(Table1[[#This Row],[Hire]],TODAY(),"Y"),DATEDIF(Table1[[#This Row],[Hire]],Table1[[#This Row],[Exit]],"Y"))</f>
        <v>1</v>
      </c>
      <c r="N43" t="str" cm="1">
        <f t="array" ref="N43">_xlfn.IFS(
AND(D43&gt;=26,D43&lt;=30),"26–30",
AND(D43&gt;=31,D43&lt;=35),"31–35",
AND(D43&gt;=36,D43&lt;=40),"36–40",
AND(D43&gt;=41,D43&lt;=45),"41–45",
AND(D43&gt;=46,D43&lt;=50),"46–50",
AND(D43&gt;=51,D43&lt;=60),"51–60")</f>
        <v>26–30</v>
      </c>
    </row>
    <row r="44" spans="1:14" x14ac:dyDescent="0.35">
      <c r="A44" t="s">
        <v>121</v>
      </c>
      <c r="B44" t="s">
        <v>122</v>
      </c>
      <c r="C44" t="s">
        <v>41</v>
      </c>
      <c r="D44">
        <v>46</v>
      </c>
      <c r="E44" t="s">
        <v>52</v>
      </c>
      <c r="F44" t="s">
        <v>16</v>
      </c>
      <c r="G44" t="s">
        <v>53</v>
      </c>
      <c r="H44" s="1">
        <v>44811</v>
      </c>
      <c r="J44">
        <v>92000</v>
      </c>
      <c r="K44">
        <v>0</v>
      </c>
      <c r="L44" t="s">
        <v>24</v>
      </c>
      <c r="M44">
        <f ca="1">IF(ISBLANK(Table1[[#This Row],[Exit]]),DATEDIF(Table1[[#This Row],[Hire]],TODAY(),"Y"),DATEDIF(Table1[[#This Row],[Hire]],Table1[[#This Row],[Exit]],"Y"))</f>
        <v>3</v>
      </c>
      <c r="N44" t="str" cm="1">
        <f t="array" ref="N44">_xlfn.IFS(
AND(D44&gt;=26,D44&lt;=30),"26–30",
AND(D44&gt;=31,D44&lt;=35),"31–35",
AND(D44&gt;=36,D44&lt;=40),"36–40",
AND(D44&gt;=41,D44&lt;=45),"41–45",
AND(D44&gt;=46,D44&lt;=50),"46–50",
AND(D44&gt;=51,D44&lt;=60),"51–60")</f>
        <v>46–50</v>
      </c>
    </row>
    <row r="45" spans="1:14" x14ac:dyDescent="0.35">
      <c r="A45" t="s">
        <v>123</v>
      </c>
      <c r="B45" t="s">
        <v>124</v>
      </c>
      <c r="C45" t="s">
        <v>14</v>
      </c>
      <c r="D45">
        <v>31</v>
      </c>
      <c r="E45" t="s">
        <v>42</v>
      </c>
      <c r="F45" t="s">
        <v>46</v>
      </c>
      <c r="G45" t="s">
        <v>53</v>
      </c>
      <c r="H45" s="1">
        <v>44199</v>
      </c>
      <c r="I45" s="1">
        <v>44465</v>
      </c>
      <c r="J45">
        <v>94000</v>
      </c>
      <c r="K45">
        <v>0</v>
      </c>
      <c r="L45" t="s">
        <v>18</v>
      </c>
      <c r="M45">
        <f ca="1">IF(ISBLANK(Table1[[#This Row],[Exit]]),DATEDIF(Table1[[#This Row],[Hire]],TODAY(),"Y"),DATEDIF(Table1[[#This Row],[Hire]],Table1[[#This Row],[Exit]],"Y"))</f>
        <v>0</v>
      </c>
      <c r="N45" t="str" cm="1">
        <f t="array" ref="N45">_xlfn.IFS(
AND(D45&gt;=26,D45&lt;=30),"26–30",
AND(D45&gt;=31,D45&lt;=35),"31–35",
AND(D45&gt;=36,D45&lt;=40),"36–40",
AND(D45&gt;=41,D45&lt;=45),"41–45",
AND(D45&gt;=46,D45&lt;=50),"46–50",
AND(D45&gt;=51,D45&lt;=60),"51–60")</f>
        <v>31–35</v>
      </c>
    </row>
    <row r="46" spans="1:14" x14ac:dyDescent="0.35">
      <c r="A46" t="s">
        <v>125</v>
      </c>
      <c r="B46" t="s">
        <v>126</v>
      </c>
      <c r="C46" t="s">
        <v>21</v>
      </c>
      <c r="D46">
        <v>45</v>
      </c>
      <c r="E46" t="s">
        <v>58</v>
      </c>
      <c r="F46" t="s">
        <v>59</v>
      </c>
      <c r="G46" t="s">
        <v>34</v>
      </c>
      <c r="H46" s="1">
        <v>45074</v>
      </c>
      <c r="J46">
        <v>96000</v>
      </c>
      <c r="K46">
        <v>0.2</v>
      </c>
      <c r="L46" t="s">
        <v>24</v>
      </c>
      <c r="M46">
        <f ca="1">IF(ISBLANK(Table1[[#This Row],[Exit]]),DATEDIF(Table1[[#This Row],[Hire]],TODAY(),"Y"),DATEDIF(Table1[[#This Row],[Hire]],Table1[[#This Row],[Exit]],"Y"))</f>
        <v>2</v>
      </c>
      <c r="N46" t="str" cm="1">
        <f t="array" ref="N46">_xlfn.IFS(
AND(D46&gt;=26,D46&lt;=30),"26–30",
AND(D46&gt;=31,D46&lt;=35),"31–35",
AND(D46&gt;=36,D46&lt;=40),"36–40",
AND(D46&gt;=41,D46&lt;=45),"41–45",
AND(D46&gt;=46,D46&lt;=50),"46–50",
AND(D46&gt;=51,D46&lt;=60),"51–60")</f>
        <v>41–45</v>
      </c>
    </row>
    <row r="47" spans="1:14" x14ac:dyDescent="0.35">
      <c r="A47" t="s">
        <v>127</v>
      </c>
      <c r="B47" t="s">
        <v>128</v>
      </c>
      <c r="C47" t="s">
        <v>21</v>
      </c>
      <c r="D47">
        <v>50</v>
      </c>
      <c r="E47" t="s">
        <v>52</v>
      </c>
      <c r="F47" t="s">
        <v>16</v>
      </c>
      <c r="G47" t="s">
        <v>23</v>
      </c>
      <c r="H47" s="1">
        <v>45245</v>
      </c>
      <c r="J47">
        <v>98000</v>
      </c>
      <c r="K47">
        <v>0.09</v>
      </c>
      <c r="L47" t="s">
        <v>24</v>
      </c>
      <c r="M47">
        <f ca="1">IF(ISBLANK(Table1[[#This Row],[Exit]]),DATEDIF(Table1[[#This Row],[Hire]],TODAY(),"Y"),DATEDIF(Table1[[#This Row],[Hire]],Table1[[#This Row],[Exit]],"Y"))</f>
        <v>2</v>
      </c>
      <c r="N47" t="str" cm="1">
        <f t="array" ref="N47">_xlfn.IFS(
AND(D47&gt;=26,D47&lt;=30),"26–30",
AND(D47&gt;=31,D47&lt;=35),"31–35",
AND(D47&gt;=36,D47&lt;=40),"36–40",
AND(D47&gt;=41,D47&lt;=45),"41–45",
AND(D47&gt;=46,D47&lt;=50),"46–50",
AND(D47&gt;=51,D47&lt;=60),"51–60")</f>
        <v>46–50</v>
      </c>
    </row>
    <row r="48" spans="1:14" x14ac:dyDescent="0.35">
      <c r="A48" t="s">
        <v>129</v>
      </c>
      <c r="B48" t="s">
        <v>130</v>
      </c>
      <c r="C48" t="s">
        <v>21</v>
      </c>
      <c r="D48">
        <v>46</v>
      </c>
      <c r="E48" t="s">
        <v>52</v>
      </c>
      <c r="F48" t="s">
        <v>16</v>
      </c>
      <c r="G48" t="s">
        <v>34</v>
      </c>
      <c r="H48" s="1">
        <v>43851</v>
      </c>
      <c r="J48">
        <v>100000</v>
      </c>
      <c r="K48">
        <v>0</v>
      </c>
      <c r="L48" t="s">
        <v>24</v>
      </c>
      <c r="M48">
        <f ca="1">IF(ISBLANK(Table1[[#This Row],[Exit]]),DATEDIF(Table1[[#This Row],[Hire]],TODAY(),"Y"),DATEDIF(Table1[[#This Row],[Hire]],Table1[[#This Row],[Exit]],"Y"))</f>
        <v>6</v>
      </c>
      <c r="N48" t="str" cm="1">
        <f t="array" ref="N48">_xlfn.IFS(
AND(D48&gt;=26,D48&lt;=30),"26–30",
AND(D48&gt;=31,D48&lt;=35),"31–35",
AND(D48&gt;=36,D48&lt;=40),"36–40",
AND(D48&gt;=41,D48&lt;=45),"41–45",
AND(D48&gt;=46,D48&lt;=50),"46–50",
AND(D48&gt;=51,D48&lt;=60),"51–60")</f>
        <v>46–50</v>
      </c>
    </row>
    <row r="49" spans="1:14" x14ac:dyDescent="0.35">
      <c r="A49" t="s">
        <v>131</v>
      </c>
      <c r="B49" t="s">
        <v>132</v>
      </c>
      <c r="C49" t="s">
        <v>21</v>
      </c>
      <c r="D49">
        <v>45</v>
      </c>
      <c r="E49" t="s">
        <v>66</v>
      </c>
      <c r="F49" t="s">
        <v>16</v>
      </c>
      <c r="G49" t="s">
        <v>17</v>
      </c>
      <c r="H49" s="1">
        <v>45206</v>
      </c>
      <c r="J49">
        <v>102000</v>
      </c>
      <c r="K49">
        <v>0.4</v>
      </c>
      <c r="L49" t="s">
        <v>24</v>
      </c>
      <c r="M49">
        <f ca="1">IF(ISBLANK(Table1[[#This Row],[Exit]]),DATEDIF(Table1[[#This Row],[Hire]],TODAY(),"Y"),DATEDIF(Table1[[#This Row],[Hire]],Table1[[#This Row],[Exit]],"Y"))</f>
        <v>2</v>
      </c>
      <c r="N49" t="str" cm="1">
        <f t="array" ref="N49">_xlfn.IFS(
AND(D49&gt;=26,D49&lt;=30),"26–30",
AND(D49&gt;=31,D49&lt;=35),"31–35",
AND(D49&gt;=36,D49&lt;=40),"36–40",
AND(D49&gt;=41,D49&lt;=45),"41–45",
AND(D49&gt;=46,D49&lt;=50),"46–50",
AND(D49&gt;=51,D49&lt;=60),"51–60")</f>
        <v>41–45</v>
      </c>
    </row>
    <row r="50" spans="1:14" x14ac:dyDescent="0.35">
      <c r="A50" t="s">
        <v>133</v>
      </c>
      <c r="B50" t="s">
        <v>134</v>
      </c>
      <c r="C50" t="s">
        <v>21</v>
      </c>
      <c r="D50">
        <v>29</v>
      </c>
      <c r="E50" t="s">
        <v>58</v>
      </c>
      <c r="F50" t="s">
        <v>59</v>
      </c>
      <c r="G50" t="s">
        <v>23</v>
      </c>
      <c r="H50" s="1">
        <v>43940</v>
      </c>
      <c r="I50" s="1">
        <v>44647</v>
      </c>
      <c r="J50">
        <v>104000</v>
      </c>
      <c r="K50">
        <v>0</v>
      </c>
      <c r="L50" t="s">
        <v>18</v>
      </c>
      <c r="M50">
        <f ca="1">IF(ISBLANK(Table1[[#This Row],[Exit]]),DATEDIF(Table1[[#This Row],[Hire]],TODAY(),"Y"),DATEDIF(Table1[[#This Row],[Hire]],Table1[[#This Row],[Exit]],"Y"))</f>
        <v>1</v>
      </c>
      <c r="N50" t="str" cm="1">
        <f t="array" ref="N50">_xlfn.IFS(
AND(D50&gt;=26,D50&lt;=30),"26–30",
AND(D50&gt;=31,D50&lt;=35),"31–35",
AND(D50&gt;=36,D50&lt;=40),"36–40",
AND(D50&gt;=41,D50&lt;=45),"41–45",
AND(D50&gt;=46,D50&lt;=50),"46–50",
AND(D50&gt;=51,D50&lt;=60),"51–60")</f>
        <v>26–30</v>
      </c>
    </row>
    <row r="51" spans="1:14" x14ac:dyDescent="0.35">
      <c r="A51" t="s">
        <v>135</v>
      </c>
      <c r="B51" t="s">
        <v>136</v>
      </c>
      <c r="C51" t="s">
        <v>21</v>
      </c>
      <c r="D51">
        <v>41</v>
      </c>
      <c r="E51" t="s">
        <v>66</v>
      </c>
      <c r="F51" t="s">
        <v>16</v>
      </c>
      <c r="G51" t="s">
        <v>34</v>
      </c>
      <c r="H51" s="1">
        <v>44083</v>
      </c>
      <c r="I51" s="1">
        <v>45514</v>
      </c>
      <c r="J51">
        <v>106000</v>
      </c>
      <c r="K51">
        <v>0</v>
      </c>
      <c r="L51" t="s">
        <v>18</v>
      </c>
      <c r="M51">
        <f ca="1">IF(ISBLANK(Table1[[#This Row],[Exit]]),DATEDIF(Table1[[#This Row],[Hire]],TODAY(),"Y"),DATEDIF(Table1[[#This Row],[Hire]],Table1[[#This Row],[Exit]],"Y"))</f>
        <v>3</v>
      </c>
      <c r="N51" t="str" cm="1">
        <f t="array" ref="N51">_xlfn.IFS(
AND(D51&gt;=26,D51&lt;=30),"26–30",
AND(D51&gt;=31,D51&lt;=35),"31–35",
AND(D51&gt;=36,D51&lt;=40),"36–40",
AND(D51&gt;=41,D51&lt;=45),"41–45",
AND(D51&gt;=46,D51&lt;=50),"46–50",
AND(D51&gt;=51,D51&lt;=60),"51–60")</f>
        <v>41–45</v>
      </c>
    </row>
    <row r="52" spans="1:14" x14ac:dyDescent="0.35">
      <c r="A52" t="s">
        <v>137</v>
      </c>
      <c r="B52" t="s">
        <v>138</v>
      </c>
      <c r="C52" t="s">
        <v>14</v>
      </c>
      <c r="D52">
        <v>47</v>
      </c>
      <c r="E52" t="s">
        <v>66</v>
      </c>
      <c r="F52" t="s">
        <v>16</v>
      </c>
      <c r="G52" t="s">
        <v>53</v>
      </c>
      <c r="H52" s="1">
        <v>45233</v>
      </c>
      <c r="I52" s="1">
        <v>45430</v>
      </c>
      <c r="J52">
        <v>108000</v>
      </c>
      <c r="K52">
        <v>0.08</v>
      </c>
      <c r="L52" t="s">
        <v>18</v>
      </c>
      <c r="M52">
        <f ca="1">IF(ISBLANK(Table1[[#This Row],[Exit]]),DATEDIF(Table1[[#This Row],[Hire]],TODAY(),"Y"),DATEDIF(Table1[[#This Row],[Hire]],Table1[[#This Row],[Exit]],"Y"))</f>
        <v>0</v>
      </c>
      <c r="N52" t="str" cm="1">
        <f t="array" ref="N52">_xlfn.IFS(
AND(D52&gt;=26,D52&lt;=30),"26–30",
AND(D52&gt;=31,D52&lt;=35),"31–35",
AND(D52&gt;=36,D52&lt;=40),"36–40",
AND(D52&gt;=41,D52&lt;=45),"41–45",
AND(D52&gt;=46,D52&lt;=50),"46–50",
AND(D52&gt;=51,D52&lt;=60),"51–60")</f>
        <v>46–50</v>
      </c>
    </row>
    <row r="53" spans="1:14" x14ac:dyDescent="0.35">
      <c r="A53" t="s">
        <v>139</v>
      </c>
      <c r="B53" t="s">
        <v>140</v>
      </c>
      <c r="C53" t="s">
        <v>41</v>
      </c>
      <c r="D53">
        <v>46</v>
      </c>
      <c r="E53" t="s">
        <v>58</v>
      </c>
      <c r="F53" t="s">
        <v>59</v>
      </c>
      <c r="G53" t="s">
        <v>53</v>
      </c>
      <c r="H53" s="1">
        <v>45412</v>
      </c>
      <c r="J53">
        <v>110000</v>
      </c>
      <c r="K53">
        <v>0</v>
      </c>
      <c r="L53" t="s">
        <v>24</v>
      </c>
      <c r="M53">
        <f ca="1">IF(ISBLANK(Table1[[#This Row],[Exit]]),DATEDIF(Table1[[#This Row],[Hire]],TODAY(),"Y"),DATEDIF(Table1[[#This Row],[Hire]],Table1[[#This Row],[Exit]],"Y"))</f>
        <v>1</v>
      </c>
      <c r="N53" t="str" cm="1">
        <f t="array" ref="N53">_xlfn.IFS(
AND(D53&gt;=26,D53&lt;=30),"26–30",
AND(D53&gt;=31,D53&lt;=35),"31–35",
AND(D53&gt;=36,D53&lt;=40),"36–40",
AND(D53&gt;=41,D53&lt;=45),"41–45",
AND(D53&gt;=46,D53&lt;=50),"46–50",
AND(D53&gt;=51,D53&lt;=60),"51–60")</f>
        <v>46–50</v>
      </c>
    </row>
    <row r="54" spans="1:14" x14ac:dyDescent="0.35">
      <c r="A54" t="s">
        <v>141</v>
      </c>
      <c r="B54" t="s">
        <v>142</v>
      </c>
      <c r="C54" t="s">
        <v>14</v>
      </c>
      <c r="D54">
        <v>40</v>
      </c>
      <c r="E54" t="s">
        <v>15</v>
      </c>
      <c r="F54" t="s">
        <v>16</v>
      </c>
      <c r="G54" t="s">
        <v>53</v>
      </c>
      <c r="H54" s="1">
        <v>43887</v>
      </c>
      <c r="J54">
        <v>112000</v>
      </c>
      <c r="K54">
        <v>0.15</v>
      </c>
      <c r="L54" t="s">
        <v>24</v>
      </c>
      <c r="M54">
        <f ca="1">IF(ISBLANK(Table1[[#This Row],[Exit]]),DATEDIF(Table1[[#This Row],[Hire]],TODAY(),"Y"),DATEDIF(Table1[[#This Row],[Hire]],Table1[[#This Row],[Exit]],"Y"))</f>
        <v>5</v>
      </c>
      <c r="N54" t="str" cm="1">
        <f t="array" ref="N54">_xlfn.IFS(
AND(D54&gt;=26,D54&lt;=30),"26–30",
AND(D54&gt;=31,D54&lt;=35),"31–35",
AND(D54&gt;=36,D54&lt;=40),"36–40",
AND(D54&gt;=41,D54&lt;=45),"41–45",
AND(D54&gt;=46,D54&lt;=50),"46–50",
AND(D54&gt;=51,D54&lt;=60),"51–60")</f>
        <v>36–40</v>
      </c>
    </row>
    <row r="55" spans="1:14" x14ac:dyDescent="0.35">
      <c r="A55" t="s">
        <v>143</v>
      </c>
      <c r="B55" t="s">
        <v>144</v>
      </c>
      <c r="C55" t="s">
        <v>21</v>
      </c>
      <c r="D55">
        <v>45</v>
      </c>
      <c r="E55" t="s">
        <v>22</v>
      </c>
      <c r="F55" t="s">
        <v>16</v>
      </c>
      <c r="G55" t="s">
        <v>53</v>
      </c>
      <c r="H55" s="1">
        <v>44815</v>
      </c>
      <c r="J55">
        <v>114000</v>
      </c>
      <c r="K55">
        <v>0</v>
      </c>
      <c r="L55" t="s">
        <v>24</v>
      </c>
      <c r="M55">
        <f ca="1">IF(ISBLANK(Table1[[#This Row],[Exit]]),DATEDIF(Table1[[#This Row],[Hire]],TODAY(),"Y"),DATEDIF(Table1[[#This Row],[Hire]],Table1[[#This Row],[Exit]],"Y"))</f>
        <v>3</v>
      </c>
      <c r="N55" t="str" cm="1">
        <f t="array" ref="N55">_xlfn.IFS(
AND(D55&gt;=26,D55&lt;=30),"26–30",
AND(D55&gt;=31,D55&lt;=35),"31–35",
AND(D55&gt;=36,D55&lt;=40),"36–40",
AND(D55&gt;=41,D55&lt;=45),"41–45",
AND(D55&gt;=46,D55&lt;=50),"46–50",
AND(D55&gt;=51,D55&lt;=60),"51–60")</f>
        <v>41–45</v>
      </c>
    </row>
    <row r="56" spans="1:14" x14ac:dyDescent="0.35">
      <c r="A56" t="s">
        <v>145</v>
      </c>
      <c r="B56" t="s">
        <v>146</v>
      </c>
      <c r="C56" t="s">
        <v>41</v>
      </c>
      <c r="D56">
        <v>26</v>
      </c>
      <c r="E56" t="s">
        <v>81</v>
      </c>
      <c r="F56" t="s">
        <v>43</v>
      </c>
      <c r="G56" t="s">
        <v>53</v>
      </c>
      <c r="H56" s="1">
        <v>45430</v>
      </c>
      <c r="J56">
        <v>116000</v>
      </c>
      <c r="K56">
        <v>0.11</v>
      </c>
      <c r="L56" t="s">
        <v>24</v>
      </c>
      <c r="M56">
        <f ca="1">IF(ISBLANK(Table1[[#This Row],[Exit]]),DATEDIF(Table1[[#This Row],[Hire]],TODAY(),"Y"),DATEDIF(Table1[[#This Row],[Hire]],Table1[[#This Row],[Exit]],"Y"))</f>
        <v>1</v>
      </c>
      <c r="N56" t="str" cm="1">
        <f t="array" ref="N56">_xlfn.IFS(
AND(D56&gt;=26,D56&lt;=30),"26–30",
AND(D56&gt;=31,D56&lt;=35),"31–35",
AND(D56&gt;=36,D56&lt;=40),"36–40",
AND(D56&gt;=41,D56&lt;=45),"41–45",
AND(D56&gt;=46,D56&lt;=50),"46–50",
AND(D56&gt;=51,D56&lt;=60),"51–60")</f>
        <v>26–30</v>
      </c>
    </row>
    <row r="57" spans="1:14" x14ac:dyDescent="0.35">
      <c r="A57" t="s">
        <v>147</v>
      </c>
      <c r="B57" t="s">
        <v>148</v>
      </c>
      <c r="C57" t="s">
        <v>14</v>
      </c>
      <c r="D57">
        <v>35</v>
      </c>
      <c r="E57" t="s">
        <v>52</v>
      </c>
      <c r="F57" t="s">
        <v>16</v>
      </c>
      <c r="G57" t="s">
        <v>17</v>
      </c>
      <c r="H57" s="1">
        <v>44509</v>
      </c>
      <c r="J57">
        <v>118000</v>
      </c>
      <c r="K57">
        <v>0</v>
      </c>
      <c r="L57" t="s">
        <v>24</v>
      </c>
      <c r="M57">
        <f ca="1">IF(ISBLANK(Table1[[#This Row],[Exit]]),DATEDIF(Table1[[#This Row],[Hire]],TODAY(),"Y"),DATEDIF(Table1[[#This Row],[Hire]],Table1[[#This Row],[Exit]],"Y"))</f>
        <v>4</v>
      </c>
      <c r="N57" t="str" cm="1">
        <f t="array" ref="N57">_xlfn.IFS(
AND(D57&gt;=26,D57&lt;=30),"26–30",
AND(D57&gt;=31,D57&lt;=35),"31–35",
AND(D57&gt;=36,D57&lt;=40),"36–40",
AND(D57&gt;=41,D57&lt;=45),"41–45",
AND(D57&gt;=46,D57&lt;=50),"46–50",
AND(D57&gt;=51,D57&lt;=60),"51–60")</f>
        <v>31–35</v>
      </c>
    </row>
    <row r="58" spans="1:14" x14ac:dyDescent="0.35">
      <c r="A58" t="s">
        <v>149</v>
      </c>
      <c r="B58" t="s">
        <v>150</v>
      </c>
      <c r="C58" t="s">
        <v>21</v>
      </c>
      <c r="D58">
        <v>29</v>
      </c>
      <c r="E58" t="s">
        <v>66</v>
      </c>
      <c r="F58" t="s">
        <v>16</v>
      </c>
      <c r="G58" t="s">
        <v>23</v>
      </c>
      <c r="H58" s="1">
        <v>43963</v>
      </c>
      <c r="I58" s="1">
        <v>44907</v>
      </c>
      <c r="J58">
        <v>120000</v>
      </c>
      <c r="K58">
        <v>0.28000000000000003</v>
      </c>
      <c r="L58" t="s">
        <v>18</v>
      </c>
      <c r="M58">
        <f ca="1">IF(ISBLANK(Table1[[#This Row],[Exit]]),DATEDIF(Table1[[#This Row],[Hire]],TODAY(),"Y"),DATEDIF(Table1[[#This Row],[Hire]],Table1[[#This Row],[Exit]],"Y"))</f>
        <v>2</v>
      </c>
      <c r="N58" t="str" cm="1">
        <f t="array" ref="N58">_xlfn.IFS(
AND(D58&gt;=26,D58&lt;=30),"26–30",
AND(D58&gt;=31,D58&lt;=35),"31–35",
AND(D58&gt;=36,D58&lt;=40),"36–40",
AND(D58&gt;=41,D58&lt;=45),"41–45",
AND(D58&gt;=46,D58&lt;=50),"46–50",
AND(D58&gt;=51,D58&lt;=60),"51–60")</f>
        <v>26–30</v>
      </c>
    </row>
    <row r="59" spans="1:14" x14ac:dyDescent="0.35">
      <c r="A59" t="s">
        <v>151</v>
      </c>
      <c r="B59" t="s">
        <v>152</v>
      </c>
      <c r="C59" t="s">
        <v>21</v>
      </c>
      <c r="D59">
        <v>35</v>
      </c>
      <c r="E59" t="s">
        <v>31</v>
      </c>
      <c r="F59" t="s">
        <v>16</v>
      </c>
      <c r="G59" t="s">
        <v>53</v>
      </c>
      <c r="H59" s="1">
        <v>44815</v>
      </c>
      <c r="J59">
        <v>122000</v>
      </c>
      <c r="K59">
        <v>0.27</v>
      </c>
      <c r="L59" t="s">
        <v>24</v>
      </c>
      <c r="M59">
        <f ca="1">IF(ISBLANK(Table1[[#This Row],[Exit]]),DATEDIF(Table1[[#This Row],[Hire]],TODAY(),"Y"),DATEDIF(Table1[[#This Row],[Hire]],Table1[[#This Row],[Exit]],"Y"))</f>
        <v>3</v>
      </c>
      <c r="N59" t="str" cm="1">
        <f t="array" ref="N59">_xlfn.IFS(
AND(D59&gt;=26,D59&lt;=30),"26–30",
AND(D59&gt;=31,D59&lt;=35),"31–35",
AND(D59&gt;=36,D59&lt;=40),"36–40",
AND(D59&gt;=41,D59&lt;=45),"41–45",
AND(D59&gt;=46,D59&lt;=50),"46–50",
AND(D59&gt;=51,D59&lt;=60),"51–60")</f>
        <v>31–35</v>
      </c>
    </row>
    <row r="60" spans="1:14" x14ac:dyDescent="0.35">
      <c r="A60" t="s">
        <v>153</v>
      </c>
      <c r="B60" t="s">
        <v>154</v>
      </c>
      <c r="C60" t="s">
        <v>21</v>
      </c>
      <c r="D60">
        <v>27</v>
      </c>
      <c r="E60" t="s">
        <v>81</v>
      </c>
      <c r="F60" t="s">
        <v>49</v>
      </c>
      <c r="G60" t="s">
        <v>34</v>
      </c>
      <c r="H60" s="1">
        <v>44857</v>
      </c>
      <c r="J60">
        <v>124000</v>
      </c>
      <c r="K60">
        <v>0</v>
      </c>
      <c r="L60" t="s">
        <v>24</v>
      </c>
      <c r="M60">
        <f ca="1">IF(ISBLANK(Table1[[#This Row],[Exit]]),DATEDIF(Table1[[#This Row],[Hire]],TODAY(),"Y"),DATEDIF(Table1[[#This Row],[Hire]],Table1[[#This Row],[Exit]],"Y"))</f>
        <v>3</v>
      </c>
      <c r="N60" t="str" cm="1">
        <f t="array" ref="N60">_xlfn.IFS(
AND(D60&gt;=26,D60&lt;=30),"26–30",
AND(D60&gt;=31,D60&lt;=35),"31–35",
AND(D60&gt;=36,D60&lt;=40),"36–40",
AND(D60&gt;=41,D60&lt;=45),"41–45",
AND(D60&gt;=46,D60&lt;=50),"46–50",
AND(D60&gt;=51,D60&lt;=60),"51–60")</f>
        <v>26–30</v>
      </c>
    </row>
    <row r="61" spans="1:14" x14ac:dyDescent="0.35">
      <c r="A61" t="s">
        <v>155</v>
      </c>
      <c r="B61" t="s">
        <v>156</v>
      </c>
      <c r="C61" t="s">
        <v>21</v>
      </c>
      <c r="D61">
        <v>26</v>
      </c>
      <c r="E61" t="s">
        <v>92</v>
      </c>
      <c r="F61" t="s">
        <v>59</v>
      </c>
      <c r="G61" t="s">
        <v>53</v>
      </c>
      <c r="H61" s="1">
        <v>45527</v>
      </c>
      <c r="J61">
        <v>126000</v>
      </c>
      <c r="K61">
        <v>0.3</v>
      </c>
      <c r="L61" t="s">
        <v>24</v>
      </c>
      <c r="M61">
        <f ca="1">IF(ISBLANK(Table1[[#This Row],[Exit]]),DATEDIF(Table1[[#This Row],[Hire]],TODAY(),"Y"),DATEDIF(Table1[[#This Row],[Hire]],Table1[[#This Row],[Exit]],"Y"))</f>
        <v>1</v>
      </c>
      <c r="N61" t="str" cm="1">
        <f t="array" ref="N61">_xlfn.IFS(
AND(D61&gt;=26,D61&lt;=30),"26–30",
AND(D61&gt;=31,D61&lt;=35),"31–35",
AND(D61&gt;=36,D61&lt;=40),"36–40",
AND(D61&gt;=41,D61&lt;=45),"41–45",
AND(D61&gt;=46,D61&lt;=50),"46–50",
AND(D61&gt;=51,D61&lt;=60),"51–60")</f>
        <v>26–30</v>
      </c>
    </row>
    <row r="62" spans="1:14" x14ac:dyDescent="0.35">
      <c r="A62" t="s">
        <v>157</v>
      </c>
      <c r="B62" t="s">
        <v>158</v>
      </c>
      <c r="C62" t="s">
        <v>14</v>
      </c>
      <c r="D62">
        <v>27</v>
      </c>
      <c r="E62" t="s">
        <v>81</v>
      </c>
      <c r="F62" t="s">
        <v>46</v>
      </c>
      <c r="G62" t="s">
        <v>23</v>
      </c>
      <c r="H62" s="1">
        <v>45237</v>
      </c>
      <c r="J62">
        <v>128000</v>
      </c>
      <c r="K62">
        <v>0</v>
      </c>
      <c r="L62" t="s">
        <v>24</v>
      </c>
      <c r="M62">
        <f ca="1">IF(ISBLANK(Table1[[#This Row],[Exit]]),DATEDIF(Table1[[#This Row],[Hire]],TODAY(),"Y"),DATEDIF(Table1[[#This Row],[Hire]],Table1[[#This Row],[Exit]],"Y"))</f>
        <v>2</v>
      </c>
      <c r="N62" t="str" cm="1">
        <f t="array" ref="N62">_xlfn.IFS(
AND(D62&gt;=26,D62&lt;=30),"26–30",
AND(D62&gt;=31,D62&lt;=35),"31–35",
AND(D62&gt;=36,D62&lt;=40),"36–40",
AND(D62&gt;=41,D62&lt;=45),"41–45",
AND(D62&gt;=46,D62&lt;=50),"46–50",
AND(D62&gt;=51,D62&lt;=60),"51–60")</f>
        <v>26–30</v>
      </c>
    </row>
    <row r="63" spans="1:14" x14ac:dyDescent="0.35">
      <c r="A63" t="s">
        <v>159</v>
      </c>
      <c r="B63" t="s">
        <v>160</v>
      </c>
      <c r="C63" t="s">
        <v>14</v>
      </c>
      <c r="D63">
        <v>30</v>
      </c>
      <c r="E63" t="s">
        <v>22</v>
      </c>
      <c r="F63" t="s">
        <v>16</v>
      </c>
      <c r="G63" t="s">
        <v>34</v>
      </c>
      <c r="H63" s="1">
        <v>45206</v>
      </c>
      <c r="J63">
        <v>130000</v>
      </c>
      <c r="K63">
        <v>0</v>
      </c>
      <c r="L63" t="s">
        <v>24</v>
      </c>
      <c r="M63">
        <f ca="1">IF(ISBLANK(Table1[[#This Row],[Exit]]),DATEDIF(Table1[[#This Row],[Hire]],TODAY(),"Y"),DATEDIF(Table1[[#This Row],[Hire]],Table1[[#This Row],[Exit]],"Y"))</f>
        <v>2</v>
      </c>
      <c r="N63" t="str" cm="1">
        <f t="array" ref="N63">_xlfn.IFS(
AND(D63&gt;=26,D63&lt;=30),"26–30",
AND(D63&gt;=31,D63&lt;=35),"31–35",
AND(D63&gt;=36,D63&lt;=40),"36–40",
AND(D63&gt;=41,D63&lt;=45),"41–45",
AND(D63&gt;=46,D63&lt;=50),"46–50",
AND(D63&gt;=51,D63&lt;=60),"51–60")</f>
        <v>26–30</v>
      </c>
    </row>
    <row r="64" spans="1:14" x14ac:dyDescent="0.35">
      <c r="A64" t="s">
        <v>161</v>
      </c>
      <c r="B64" t="s">
        <v>162</v>
      </c>
      <c r="C64" t="s">
        <v>14</v>
      </c>
      <c r="D64">
        <v>36</v>
      </c>
      <c r="E64" t="s">
        <v>92</v>
      </c>
      <c r="F64" t="s">
        <v>59</v>
      </c>
      <c r="G64" t="s">
        <v>34</v>
      </c>
      <c r="H64" s="1">
        <v>44677</v>
      </c>
      <c r="J64">
        <v>132000</v>
      </c>
      <c r="K64">
        <v>0</v>
      </c>
      <c r="L64" t="s">
        <v>24</v>
      </c>
      <c r="M64">
        <f ca="1">IF(ISBLANK(Table1[[#This Row],[Exit]]),DATEDIF(Table1[[#This Row],[Hire]],TODAY(),"Y"),DATEDIF(Table1[[#This Row],[Hire]],Table1[[#This Row],[Exit]],"Y"))</f>
        <v>3</v>
      </c>
      <c r="N64" t="str" cm="1">
        <f t="array" ref="N64">_xlfn.IFS(
AND(D64&gt;=26,D64&lt;=30),"26–30",
AND(D64&gt;=31,D64&lt;=35),"31–35",
AND(D64&gt;=36,D64&lt;=40),"36–40",
AND(D64&gt;=41,D64&lt;=45),"41–45",
AND(D64&gt;=46,D64&lt;=50),"46–50",
AND(D64&gt;=51,D64&lt;=60),"51–60")</f>
        <v>36–40</v>
      </c>
    </row>
    <row r="65" spans="1:14" x14ac:dyDescent="0.35">
      <c r="A65" t="s">
        <v>163</v>
      </c>
      <c r="B65" t="s">
        <v>164</v>
      </c>
      <c r="C65" t="s">
        <v>14</v>
      </c>
      <c r="D65">
        <v>45</v>
      </c>
      <c r="E65" t="s">
        <v>31</v>
      </c>
      <c r="F65" t="s">
        <v>16</v>
      </c>
      <c r="G65" t="s">
        <v>17</v>
      </c>
      <c r="H65" s="1">
        <v>43889</v>
      </c>
      <c r="I65" s="1">
        <v>45282</v>
      </c>
      <c r="J65">
        <v>134000</v>
      </c>
      <c r="K65">
        <v>0.1</v>
      </c>
      <c r="L65" t="s">
        <v>18</v>
      </c>
      <c r="M65">
        <f ca="1">IF(ISBLANK(Table1[[#This Row],[Exit]]),DATEDIF(Table1[[#This Row],[Hire]],TODAY(),"Y"),DATEDIF(Table1[[#This Row],[Hire]],Table1[[#This Row],[Exit]],"Y"))</f>
        <v>3</v>
      </c>
      <c r="N65" t="str" cm="1">
        <f t="array" ref="N65">_xlfn.IFS(
AND(D65&gt;=26,D65&lt;=30),"26–30",
AND(D65&gt;=31,D65&lt;=35),"31–35",
AND(D65&gt;=36,D65&lt;=40),"36–40",
AND(D65&gt;=41,D65&lt;=45),"41–45",
AND(D65&gt;=46,D65&lt;=50),"46–50",
AND(D65&gt;=51,D65&lt;=60),"51–60")</f>
        <v>41–45</v>
      </c>
    </row>
    <row r="66" spans="1:14" x14ac:dyDescent="0.35">
      <c r="A66" t="s">
        <v>165</v>
      </c>
      <c r="B66" t="s">
        <v>166</v>
      </c>
      <c r="C66" t="s">
        <v>14</v>
      </c>
      <c r="D66">
        <v>37</v>
      </c>
      <c r="E66" t="s">
        <v>15</v>
      </c>
      <c r="F66" t="s">
        <v>16</v>
      </c>
      <c r="G66" t="s">
        <v>17</v>
      </c>
      <c r="H66" s="1">
        <v>44116</v>
      </c>
      <c r="I66" s="1">
        <v>45332</v>
      </c>
      <c r="J66">
        <v>136000</v>
      </c>
      <c r="K66">
        <v>0.15</v>
      </c>
      <c r="L66" t="s">
        <v>18</v>
      </c>
      <c r="M66">
        <f ca="1">IF(ISBLANK(Table1[[#This Row],[Exit]]),DATEDIF(Table1[[#This Row],[Hire]],TODAY(),"Y"),DATEDIF(Table1[[#This Row],[Hire]],Table1[[#This Row],[Exit]],"Y"))</f>
        <v>3</v>
      </c>
      <c r="N66" t="str" cm="1">
        <f t="array" ref="N66">_xlfn.IFS(
AND(D66&gt;=26,D66&lt;=30),"26–30",
AND(D66&gt;=31,D66&lt;=35),"31–35",
AND(D66&gt;=36,D66&lt;=40),"36–40",
AND(D66&gt;=41,D66&lt;=45),"41–45",
AND(D66&gt;=46,D66&lt;=50),"46–50",
AND(D66&gt;=51,D66&lt;=60),"51–60")</f>
        <v>36–40</v>
      </c>
    </row>
    <row r="67" spans="1:14" x14ac:dyDescent="0.35">
      <c r="A67" t="s">
        <v>167</v>
      </c>
      <c r="B67" t="s">
        <v>168</v>
      </c>
      <c r="C67" t="s">
        <v>14</v>
      </c>
      <c r="D67">
        <v>38</v>
      </c>
      <c r="E67" t="s">
        <v>22</v>
      </c>
      <c r="F67" t="s">
        <v>16</v>
      </c>
      <c r="G67" t="s">
        <v>23</v>
      </c>
      <c r="H67" s="1">
        <v>44588</v>
      </c>
      <c r="I67" s="1">
        <v>45430</v>
      </c>
      <c r="J67">
        <v>138000</v>
      </c>
      <c r="K67">
        <v>0</v>
      </c>
      <c r="L67" t="s">
        <v>18</v>
      </c>
      <c r="M67">
        <f ca="1">IF(ISBLANK(Table1[[#This Row],[Exit]]),DATEDIF(Table1[[#This Row],[Hire]],TODAY(),"Y"),DATEDIF(Table1[[#This Row],[Hire]],Table1[[#This Row],[Exit]],"Y"))</f>
        <v>2</v>
      </c>
      <c r="N67" t="str" cm="1">
        <f t="array" ref="N67">_xlfn.IFS(
AND(D67&gt;=26,D67&lt;=30),"26–30",
AND(D67&gt;=31,D67&lt;=35),"31–35",
AND(D67&gt;=36,D67&lt;=40),"36–40",
AND(D67&gt;=41,D67&lt;=45),"41–45",
AND(D67&gt;=46,D67&lt;=50),"46–50",
AND(D67&gt;=51,D67&lt;=60),"51–60")</f>
        <v>36–40</v>
      </c>
    </row>
    <row r="68" spans="1:14" x14ac:dyDescent="0.35">
      <c r="A68" t="s">
        <v>169</v>
      </c>
      <c r="B68" t="s">
        <v>170</v>
      </c>
      <c r="C68" t="s">
        <v>14</v>
      </c>
      <c r="D68">
        <v>45</v>
      </c>
      <c r="E68" t="s">
        <v>27</v>
      </c>
      <c r="F68" t="s">
        <v>28</v>
      </c>
      <c r="G68" t="s">
        <v>17</v>
      </c>
      <c r="H68" s="1">
        <v>45337</v>
      </c>
      <c r="J68">
        <v>140000</v>
      </c>
      <c r="K68">
        <v>0</v>
      </c>
      <c r="L68" t="s">
        <v>24</v>
      </c>
      <c r="M68">
        <f ca="1">IF(ISBLANK(Table1[[#This Row],[Exit]]),DATEDIF(Table1[[#This Row],[Hire]],TODAY(),"Y"),DATEDIF(Table1[[#This Row],[Hire]],Table1[[#This Row],[Exit]],"Y"))</f>
        <v>1</v>
      </c>
      <c r="N68" t="str" cm="1">
        <f t="array" ref="N68">_xlfn.IFS(
AND(D68&gt;=26,D68&lt;=30),"26–30",
AND(D68&gt;=31,D68&lt;=35),"31–35",
AND(D68&gt;=36,D68&lt;=40),"36–40",
AND(D68&gt;=41,D68&lt;=45),"41–45",
AND(D68&gt;=46,D68&lt;=50),"46–50",
AND(D68&gt;=51,D68&lt;=60),"51–60")</f>
        <v>41–45</v>
      </c>
    </row>
    <row r="69" spans="1:14" x14ac:dyDescent="0.35">
      <c r="A69" t="s">
        <v>171</v>
      </c>
      <c r="B69" t="s">
        <v>172</v>
      </c>
      <c r="C69" t="s">
        <v>14</v>
      </c>
      <c r="D69">
        <v>51</v>
      </c>
      <c r="E69" t="s">
        <v>31</v>
      </c>
      <c r="F69" t="s">
        <v>16</v>
      </c>
      <c r="G69" t="s">
        <v>23</v>
      </c>
      <c r="H69" s="1">
        <v>45332</v>
      </c>
      <c r="J69">
        <v>142000</v>
      </c>
      <c r="K69">
        <v>0</v>
      </c>
      <c r="L69" t="s">
        <v>24</v>
      </c>
      <c r="M69">
        <f ca="1">IF(ISBLANK(Table1[[#This Row],[Exit]]),DATEDIF(Table1[[#This Row],[Hire]],TODAY(),"Y"),DATEDIF(Table1[[#This Row],[Hire]],Table1[[#This Row],[Exit]],"Y"))</f>
        <v>1</v>
      </c>
      <c r="N69" t="str" cm="1">
        <f t="array" ref="N69">_xlfn.IFS(
AND(D69&gt;=26,D69&lt;=30),"26–30",
AND(D69&gt;=31,D69&lt;=35),"31–35",
AND(D69&gt;=36,D69&lt;=40),"36–40",
AND(D69&gt;=41,D69&lt;=45),"41–45",
AND(D69&gt;=46,D69&lt;=50),"46–50",
AND(D69&gt;=51,D69&lt;=60),"51–60")</f>
        <v>51–60</v>
      </c>
    </row>
    <row r="70" spans="1:14" x14ac:dyDescent="0.35">
      <c r="A70" t="s">
        <v>173</v>
      </c>
      <c r="B70" t="s">
        <v>174</v>
      </c>
      <c r="C70" t="s">
        <v>21</v>
      </c>
      <c r="D70">
        <v>56</v>
      </c>
      <c r="E70" t="s">
        <v>27</v>
      </c>
      <c r="F70" t="s">
        <v>28</v>
      </c>
      <c r="G70" t="s">
        <v>34</v>
      </c>
      <c r="H70" s="1">
        <v>44183</v>
      </c>
      <c r="J70">
        <v>144000</v>
      </c>
      <c r="K70">
        <v>0.13</v>
      </c>
      <c r="L70" t="s">
        <v>24</v>
      </c>
      <c r="M70">
        <f ca="1">IF(ISBLANK(Table1[[#This Row],[Exit]]),DATEDIF(Table1[[#This Row],[Hire]],TODAY(),"Y"),DATEDIF(Table1[[#This Row],[Hire]],Table1[[#This Row],[Exit]],"Y"))</f>
        <v>5</v>
      </c>
      <c r="N70" t="str" cm="1">
        <f t="array" ref="N70">_xlfn.IFS(
AND(D70&gt;=26,D70&lt;=30),"26–30",
AND(D70&gt;=31,D70&lt;=35),"31–35",
AND(D70&gt;=36,D70&lt;=40),"36–40",
AND(D70&gt;=41,D70&lt;=45),"41–45",
AND(D70&gt;=46,D70&lt;=50),"46–50",
AND(D70&gt;=51,D70&lt;=60),"51–60")</f>
        <v>51–60</v>
      </c>
    </row>
    <row r="71" spans="1:14" x14ac:dyDescent="0.35">
      <c r="A71" t="s">
        <v>175</v>
      </c>
      <c r="B71" t="s">
        <v>176</v>
      </c>
      <c r="C71" t="s">
        <v>14</v>
      </c>
      <c r="D71">
        <v>53</v>
      </c>
      <c r="E71" t="s">
        <v>15</v>
      </c>
      <c r="F71" t="s">
        <v>16</v>
      </c>
      <c r="G71" t="s">
        <v>23</v>
      </c>
      <c r="H71" s="1">
        <v>43837</v>
      </c>
      <c r="J71">
        <v>146000</v>
      </c>
      <c r="K71">
        <v>0.3</v>
      </c>
      <c r="L71" t="s">
        <v>24</v>
      </c>
      <c r="M71">
        <f ca="1">IF(ISBLANK(Table1[[#This Row],[Exit]]),DATEDIF(Table1[[#This Row],[Hire]],TODAY(),"Y"),DATEDIF(Table1[[#This Row],[Hire]],Table1[[#This Row],[Exit]],"Y"))</f>
        <v>6</v>
      </c>
      <c r="N71" t="str" cm="1">
        <f t="array" ref="N71">_xlfn.IFS(
AND(D71&gt;=26,D71&lt;=30),"26–30",
AND(D71&gt;=31,D71&lt;=35),"31–35",
AND(D71&gt;=36,D71&lt;=40),"36–40",
AND(D71&gt;=41,D71&lt;=45),"41–45",
AND(D71&gt;=46,D71&lt;=50),"46–50",
AND(D71&gt;=51,D71&lt;=60),"51–60")</f>
        <v>51–60</v>
      </c>
    </row>
    <row r="72" spans="1:14" x14ac:dyDescent="0.35">
      <c r="A72" t="s">
        <v>177</v>
      </c>
      <c r="B72" t="s">
        <v>178</v>
      </c>
      <c r="C72" t="s">
        <v>14</v>
      </c>
      <c r="D72">
        <v>47</v>
      </c>
      <c r="E72" t="s">
        <v>15</v>
      </c>
      <c r="F72" t="s">
        <v>16</v>
      </c>
      <c r="G72" t="s">
        <v>34</v>
      </c>
      <c r="H72" s="1">
        <v>45206</v>
      </c>
      <c r="J72">
        <v>148000</v>
      </c>
      <c r="K72">
        <v>0</v>
      </c>
      <c r="L72" t="s">
        <v>24</v>
      </c>
      <c r="M72">
        <f ca="1">IF(ISBLANK(Table1[[#This Row],[Exit]]),DATEDIF(Table1[[#This Row],[Hire]],TODAY(),"Y"),DATEDIF(Table1[[#This Row],[Hire]],Table1[[#This Row],[Exit]],"Y"))</f>
        <v>2</v>
      </c>
      <c r="N72" t="str" cm="1">
        <f t="array" ref="N72">_xlfn.IFS(
AND(D72&gt;=26,D72&lt;=30),"26–30",
AND(D72&gt;=31,D72&lt;=35),"31–35",
AND(D72&gt;=36,D72&lt;=40),"36–40",
AND(D72&gt;=41,D72&lt;=45),"41–45",
AND(D72&gt;=46,D72&lt;=50),"46–50",
AND(D72&gt;=51,D72&lt;=60),"51–60")</f>
        <v>46–50</v>
      </c>
    </row>
    <row r="73" spans="1:14" x14ac:dyDescent="0.35">
      <c r="A73" t="s">
        <v>179</v>
      </c>
      <c r="B73" t="s">
        <v>180</v>
      </c>
      <c r="C73" t="s">
        <v>14</v>
      </c>
      <c r="D73">
        <v>36</v>
      </c>
      <c r="E73" t="s">
        <v>42</v>
      </c>
      <c r="F73" t="s">
        <v>43</v>
      </c>
      <c r="G73" t="s">
        <v>34</v>
      </c>
      <c r="H73" s="1">
        <v>44487</v>
      </c>
      <c r="J73">
        <v>150000</v>
      </c>
      <c r="K73">
        <v>0.08</v>
      </c>
      <c r="L73" t="s">
        <v>24</v>
      </c>
      <c r="M73">
        <f ca="1">IF(ISBLANK(Table1[[#This Row],[Exit]]),DATEDIF(Table1[[#This Row],[Hire]],TODAY(),"Y"),DATEDIF(Table1[[#This Row],[Hire]],Table1[[#This Row],[Exit]],"Y"))</f>
        <v>4</v>
      </c>
      <c r="N73" t="str" cm="1">
        <f t="array" ref="N73">_xlfn.IFS(
AND(D73&gt;=26,D73&lt;=30),"26–30",
AND(D73&gt;=31,D73&lt;=35),"31–35",
AND(D73&gt;=36,D73&lt;=40),"36–40",
AND(D73&gt;=41,D73&lt;=45),"41–45",
AND(D73&gt;=46,D73&lt;=50),"46–50",
AND(D73&gt;=51,D73&lt;=60),"51–60")</f>
        <v>36–40</v>
      </c>
    </row>
    <row r="74" spans="1:14" x14ac:dyDescent="0.35">
      <c r="A74" t="s">
        <v>181</v>
      </c>
      <c r="B74" t="s">
        <v>182</v>
      </c>
      <c r="C74" t="s">
        <v>14</v>
      </c>
      <c r="D74">
        <v>41</v>
      </c>
      <c r="E74" t="s">
        <v>42</v>
      </c>
      <c r="F74" t="s">
        <v>46</v>
      </c>
      <c r="G74" t="s">
        <v>23</v>
      </c>
      <c r="H74" s="1">
        <v>44791</v>
      </c>
      <c r="J74">
        <v>152000</v>
      </c>
      <c r="K74">
        <v>0.3</v>
      </c>
      <c r="L74" t="s">
        <v>24</v>
      </c>
      <c r="M74">
        <f ca="1">IF(ISBLANK(Table1[[#This Row],[Exit]]),DATEDIF(Table1[[#This Row],[Hire]],TODAY(),"Y"),DATEDIF(Table1[[#This Row],[Hire]],Table1[[#This Row],[Exit]],"Y"))</f>
        <v>3</v>
      </c>
      <c r="N74" t="str" cm="1">
        <f t="array" ref="N74">_xlfn.IFS(
AND(D74&gt;=26,D74&lt;=30),"26–30",
AND(D74&gt;=31,D74&lt;=35),"31–35",
AND(D74&gt;=36,D74&lt;=40),"36–40",
AND(D74&gt;=41,D74&lt;=45),"41–45",
AND(D74&gt;=46,D74&lt;=50),"46–50",
AND(D74&gt;=51,D74&lt;=60),"51–60")</f>
        <v>41–45</v>
      </c>
    </row>
    <row r="75" spans="1:14" x14ac:dyDescent="0.35">
      <c r="A75" t="s">
        <v>183</v>
      </c>
      <c r="B75" t="s">
        <v>184</v>
      </c>
      <c r="C75" t="s">
        <v>14</v>
      </c>
      <c r="D75">
        <v>30</v>
      </c>
      <c r="E75" t="s">
        <v>42</v>
      </c>
      <c r="F75" t="s">
        <v>49</v>
      </c>
      <c r="G75" t="s">
        <v>17</v>
      </c>
      <c r="H75" s="1">
        <v>45440</v>
      </c>
      <c r="J75">
        <v>154000</v>
      </c>
      <c r="K75">
        <v>0</v>
      </c>
      <c r="L75" t="s">
        <v>24</v>
      </c>
      <c r="M75">
        <f ca="1">IF(ISBLANK(Table1[[#This Row],[Exit]]),DATEDIF(Table1[[#This Row],[Hire]],TODAY(),"Y"),DATEDIF(Table1[[#This Row],[Hire]],Table1[[#This Row],[Exit]],"Y"))</f>
        <v>1</v>
      </c>
      <c r="N75" t="str" cm="1">
        <f t="array" ref="N75">_xlfn.IFS(
AND(D75&gt;=26,D75&lt;=30),"26–30",
AND(D75&gt;=31,D75&lt;=35),"31–35",
AND(D75&gt;=36,D75&lt;=40),"36–40",
AND(D75&gt;=41,D75&lt;=45),"41–45",
AND(D75&gt;=46,D75&lt;=50),"46–50",
AND(D75&gt;=51,D75&lt;=60),"51–60")</f>
        <v>26–30</v>
      </c>
    </row>
    <row r="76" spans="1:14" x14ac:dyDescent="0.35">
      <c r="A76" t="s">
        <v>185</v>
      </c>
      <c r="B76" t="s">
        <v>186</v>
      </c>
      <c r="C76" t="s">
        <v>41</v>
      </c>
      <c r="D76">
        <v>30</v>
      </c>
      <c r="E76" t="s">
        <v>52</v>
      </c>
      <c r="F76" t="s">
        <v>16</v>
      </c>
      <c r="G76" t="s">
        <v>53</v>
      </c>
      <c r="H76" s="1">
        <v>44811</v>
      </c>
      <c r="J76">
        <v>156000</v>
      </c>
      <c r="K76">
        <v>0.09</v>
      </c>
      <c r="L76" t="s">
        <v>24</v>
      </c>
      <c r="M76">
        <f ca="1">IF(ISBLANK(Table1[[#This Row],[Exit]]),DATEDIF(Table1[[#This Row],[Hire]],TODAY(),"Y"),DATEDIF(Table1[[#This Row],[Hire]],Table1[[#This Row],[Exit]],"Y"))</f>
        <v>3</v>
      </c>
      <c r="N76" t="str" cm="1">
        <f t="array" ref="N76">_xlfn.IFS(
AND(D76&gt;=26,D76&lt;=30),"26–30",
AND(D76&gt;=31,D76&lt;=35),"31–35",
AND(D76&gt;=36,D76&lt;=40),"36–40",
AND(D76&gt;=41,D76&lt;=45),"41–45",
AND(D76&gt;=46,D76&lt;=50),"46–50",
AND(D76&gt;=51,D76&lt;=60),"51–60")</f>
        <v>26–30</v>
      </c>
    </row>
    <row r="77" spans="1:14" x14ac:dyDescent="0.35">
      <c r="A77" t="s">
        <v>19</v>
      </c>
      <c r="B77" t="s">
        <v>187</v>
      </c>
      <c r="C77" t="s">
        <v>14</v>
      </c>
      <c r="D77">
        <v>38</v>
      </c>
      <c r="E77" t="s">
        <v>42</v>
      </c>
      <c r="F77" t="s">
        <v>46</v>
      </c>
      <c r="G77" t="s">
        <v>53</v>
      </c>
      <c r="H77" s="1">
        <v>45294</v>
      </c>
      <c r="J77">
        <v>158000</v>
      </c>
      <c r="K77">
        <v>0</v>
      </c>
      <c r="L77" t="s">
        <v>24</v>
      </c>
      <c r="M77">
        <f ca="1">IF(ISBLANK(Table1[[#This Row],[Exit]]),DATEDIF(Table1[[#This Row],[Hire]],TODAY(),"Y"),DATEDIF(Table1[[#This Row],[Hire]],Table1[[#This Row],[Exit]],"Y"))</f>
        <v>2</v>
      </c>
      <c r="N77" t="str" cm="1">
        <f t="array" ref="N77">_xlfn.IFS(
AND(D77&gt;=26,D77&lt;=30),"26–30",
AND(D77&gt;=31,D77&lt;=35),"31–35",
AND(D77&gt;=36,D77&lt;=40),"36–40",
AND(D77&gt;=41,D77&lt;=45),"41–45",
AND(D77&gt;=46,D77&lt;=50),"46–50",
AND(D77&gt;=51,D77&lt;=60),"51–60")</f>
        <v>36–40</v>
      </c>
    </row>
    <row r="78" spans="1:14" x14ac:dyDescent="0.35">
      <c r="A78" t="s">
        <v>188</v>
      </c>
      <c r="B78" t="s">
        <v>189</v>
      </c>
      <c r="C78" t="s">
        <v>21</v>
      </c>
      <c r="D78">
        <v>28</v>
      </c>
      <c r="E78" t="s">
        <v>58</v>
      </c>
      <c r="F78" t="s">
        <v>59</v>
      </c>
      <c r="G78" t="s">
        <v>34</v>
      </c>
      <c r="H78" s="1">
        <v>45074</v>
      </c>
      <c r="J78">
        <v>160000</v>
      </c>
      <c r="K78">
        <v>0.16</v>
      </c>
      <c r="L78" t="s">
        <v>24</v>
      </c>
      <c r="M78">
        <f ca="1">IF(ISBLANK(Table1[[#This Row],[Exit]]),DATEDIF(Table1[[#This Row],[Hire]],TODAY(),"Y"),DATEDIF(Table1[[#This Row],[Hire]],Table1[[#This Row],[Exit]],"Y"))</f>
        <v>2</v>
      </c>
      <c r="N78" t="str" cm="1">
        <f t="array" ref="N78">_xlfn.IFS(
AND(D78&gt;=26,D78&lt;=30),"26–30",
AND(D78&gt;=31,D78&lt;=35),"31–35",
AND(D78&gt;=36,D78&lt;=40),"36–40",
AND(D78&gt;=41,D78&lt;=45),"41–45",
AND(D78&gt;=46,D78&lt;=50),"46–50",
AND(D78&gt;=51,D78&lt;=60),"51–60")</f>
        <v>26–30</v>
      </c>
    </row>
    <row r="79" spans="1:14" x14ac:dyDescent="0.35">
      <c r="A79" t="s">
        <v>190</v>
      </c>
      <c r="B79" t="s">
        <v>191</v>
      </c>
      <c r="C79" t="s">
        <v>14</v>
      </c>
      <c r="D79">
        <v>39</v>
      </c>
      <c r="E79" t="s">
        <v>52</v>
      </c>
      <c r="F79" t="s">
        <v>16</v>
      </c>
      <c r="G79" t="s">
        <v>23</v>
      </c>
      <c r="H79" s="1">
        <v>45245</v>
      </c>
      <c r="I79" s="1">
        <v>45514</v>
      </c>
      <c r="J79">
        <v>162000</v>
      </c>
      <c r="K79">
        <v>0</v>
      </c>
      <c r="L79" t="s">
        <v>18</v>
      </c>
      <c r="M79">
        <f ca="1">IF(ISBLANK(Table1[[#This Row],[Exit]]),DATEDIF(Table1[[#This Row],[Hire]],TODAY(),"Y"),DATEDIF(Table1[[#This Row],[Hire]],Table1[[#This Row],[Exit]],"Y"))</f>
        <v>0</v>
      </c>
      <c r="N79" t="str" cm="1">
        <f t="array" ref="N79">_xlfn.IFS(
AND(D79&gt;=26,D79&lt;=30),"26–30",
AND(D79&gt;=31,D79&lt;=35),"31–35",
AND(D79&gt;=36,D79&lt;=40),"36–40",
AND(D79&gt;=41,D79&lt;=45),"41–45",
AND(D79&gt;=46,D79&lt;=50),"46–50",
AND(D79&gt;=51,D79&lt;=60),"51–60")</f>
        <v>36–40</v>
      </c>
    </row>
    <row r="80" spans="1:14" x14ac:dyDescent="0.35">
      <c r="A80" t="s">
        <v>192</v>
      </c>
      <c r="B80" t="s">
        <v>193</v>
      </c>
      <c r="C80" t="s">
        <v>21</v>
      </c>
      <c r="D80">
        <v>31</v>
      </c>
      <c r="E80" t="s">
        <v>52</v>
      </c>
      <c r="F80" t="s">
        <v>16</v>
      </c>
      <c r="G80" t="s">
        <v>34</v>
      </c>
      <c r="H80" s="1">
        <v>43851</v>
      </c>
      <c r="I80" s="1">
        <v>45332</v>
      </c>
      <c r="J80">
        <v>164000</v>
      </c>
      <c r="K80">
        <v>0.1</v>
      </c>
      <c r="L80" t="s">
        <v>18</v>
      </c>
      <c r="M80">
        <f ca="1">IF(ISBLANK(Table1[[#This Row],[Exit]]),DATEDIF(Table1[[#This Row],[Hire]],TODAY(),"Y"),DATEDIF(Table1[[#This Row],[Hire]],Table1[[#This Row],[Exit]],"Y"))</f>
        <v>4</v>
      </c>
      <c r="N80" t="str" cm="1">
        <f t="array" ref="N80">_xlfn.IFS(
AND(D80&gt;=26,D80&lt;=30),"26–30",
AND(D80&gt;=31,D80&lt;=35),"31–35",
AND(D80&gt;=36,D80&lt;=40),"36–40",
AND(D80&gt;=41,D80&lt;=45),"41–45",
AND(D80&gt;=46,D80&lt;=50),"46–50",
AND(D80&gt;=51,D80&lt;=60),"51–60")</f>
        <v>31–35</v>
      </c>
    </row>
    <row r="81" spans="1:14" x14ac:dyDescent="0.35">
      <c r="A81" t="s">
        <v>194</v>
      </c>
      <c r="B81" t="s">
        <v>195</v>
      </c>
      <c r="C81" t="s">
        <v>21</v>
      </c>
      <c r="D81">
        <v>45</v>
      </c>
      <c r="E81" t="s">
        <v>66</v>
      </c>
      <c r="F81" t="s">
        <v>16</v>
      </c>
      <c r="G81" t="s">
        <v>17</v>
      </c>
      <c r="H81" s="1">
        <v>45206</v>
      </c>
      <c r="J81">
        <v>166000</v>
      </c>
      <c r="K81">
        <v>0</v>
      </c>
      <c r="L81" t="s">
        <v>24</v>
      </c>
      <c r="M81">
        <f ca="1">IF(ISBLANK(Table1[[#This Row],[Exit]]),DATEDIF(Table1[[#This Row],[Hire]],TODAY(),"Y"),DATEDIF(Table1[[#This Row],[Hire]],Table1[[#This Row],[Exit]],"Y"))</f>
        <v>2</v>
      </c>
      <c r="N81" t="str" cm="1">
        <f t="array" ref="N81">_xlfn.IFS(
AND(D81&gt;=26,D81&lt;=30),"26–30",
AND(D81&gt;=31,D81&lt;=35),"31–35",
AND(D81&gt;=36,D81&lt;=40),"36–40",
AND(D81&gt;=41,D81&lt;=45),"41–45",
AND(D81&gt;=46,D81&lt;=50),"46–50",
AND(D81&gt;=51,D81&lt;=60),"51–60")</f>
        <v>41–45</v>
      </c>
    </row>
    <row r="82" spans="1:14" x14ac:dyDescent="0.35">
      <c r="A82" t="s">
        <v>196</v>
      </c>
      <c r="B82" t="s">
        <v>197</v>
      </c>
      <c r="C82" t="s">
        <v>21</v>
      </c>
      <c r="D82">
        <v>50</v>
      </c>
      <c r="E82" t="s">
        <v>58</v>
      </c>
      <c r="F82" t="s">
        <v>59</v>
      </c>
      <c r="G82" t="s">
        <v>23</v>
      </c>
      <c r="H82" s="1">
        <v>45401</v>
      </c>
      <c r="J82">
        <v>168000</v>
      </c>
      <c r="K82">
        <v>0</v>
      </c>
      <c r="L82" t="s">
        <v>24</v>
      </c>
      <c r="M82">
        <f ca="1">IF(ISBLANK(Table1[[#This Row],[Exit]]),DATEDIF(Table1[[#This Row],[Hire]],TODAY(),"Y"),DATEDIF(Table1[[#This Row],[Hire]],Table1[[#This Row],[Exit]],"Y"))</f>
        <v>1</v>
      </c>
      <c r="N82" t="str" cm="1">
        <f t="array" ref="N82">_xlfn.IFS(
AND(D82&gt;=26,D82&lt;=30),"26–30",
AND(D82&gt;=31,D82&lt;=35),"31–35",
AND(D82&gt;=36,D82&lt;=40),"36–40",
AND(D82&gt;=41,D82&lt;=45),"41–45",
AND(D82&gt;=46,D82&lt;=50),"46–50",
AND(D82&gt;=51,D82&lt;=60),"51–60")</f>
        <v>46–50</v>
      </c>
    </row>
    <row r="83" spans="1:14" x14ac:dyDescent="0.35">
      <c r="A83" t="s">
        <v>198</v>
      </c>
      <c r="B83" t="s">
        <v>199</v>
      </c>
      <c r="C83" t="s">
        <v>14</v>
      </c>
      <c r="D83">
        <v>36</v>
      </c>
      <c r="E83" t="s">
        <v>66</v>
      </c>
      <c r="F83" t="s">
        <v>16</v>
      </c>
      <c r="G83" t="s">
        <v>34</v>
      </c>
      <c r="H83" s="1">
        <v>44083</v>
      </c>
      <c r="J83">
        <v>170000</v>
      </c>
      <c r="K83">
        <v>0</v>
      </c>
      <c r="L83" t="s">
        <v>24</v>
      </c>
      <c r="M83">
        <f ca="1">IF(ISBLANK(Table1[[#This Row],[Exit]]),DATEDIF(Table1[[#This Row],[Hire]],TODAY(),"Y"),DATEDIF(Table1[[#This Row],[Hire]],Table1[[#This Row],[Exit]],"Y"))</f>
        <v>5</v>
      </c>
      <c r="N83" t="str" cm="1">
        <f t="array" ref="N83">_xlfn.IFS(
AND(D83&gt;=26,D83&lt;=30),"26–30",
AND(D83&gt;=31,D83&lt;=35),"31–35",
AND(D83&gt;=36,D83&lt;=40),"36–40",
AND(D83&gt;=41,D83&lt;=45),"41–45",
AND(D83&gt;=46,D83&lt;=50),"46–50",
AND(D83&gt;=51,D83&lt;=60),"51–60")</f>
        <v>36–40</v>
      </c>
    </row>
    <row r="84" spans="1:14" x14ac:dyDescent="0.35">
      <c r="A84" t="s">
        <v>200</v>
      </c>
      <c r="B84" t="s">
        <v>201</v>
      </c>
      <c r="C84" t="s">
        <v>41</v>
      </c>
      <c r="D84">
        <v>45</v>
      </c>
      <c r="E84" t="s">
        <v>66</v>
      </c>
      <c r="F84" t="s">
        <v>16</v>
      </c>
      <c r="G84" t="s">
        <v>53</v>
      </c>
      <c r="H84" s="1">
        <v>45233</v>
      </c>
      <c r="J84">
        <v>172000</v>
      </c>
      <c r="K84">
        <v>0.26</v>
      </c>
      <c r="L84" t="s">
        <v>24</v>
      </c>
      <c r="M84">
        <f ca="1">IF(ISBLANK(Table1[[#This Row],[Exit]]),DATEDIF(Table1[[#This Row],[Hire]],TODAY(),"Y"),DATEDIF(Table1[[#This Row],[Hire]],Table1[[#This Row],[Exit]],"Y"))</f>
        <v>2</v>
      </c>
      <c r="N84" t="str" cm="1">
        <f t="array" ref="N84">_xlfn.IFS(
AND(D84&gt;=26,D84&lt;=30),"26–30",
AND(D84&gt;=31,D84&lt;=35),"31–35",
AND(D84&gt;=36,D84&lt;=40),"36–40",
AND(D84&gt;=41,D84&lt;=45),"41–45",
AND(D84&gt;=46,D84&lt;=50),"46–50",
AND(D84&gt;=51,D84&lt;=60),"51–60")</f>
        <v>41–45</v>
      </c>
    </row>
    <row r="85" spans="1:14" x14ac:dyDescent="0.35">
      <c r="A85" t="s">
        <v>25</v>
      </c>
      <c r="B85" t="s">
        <v>202</v>
      </c>
      <c r="C85" t="s">
        <v>41</v>
      </c>
      <c r="D85">
        <v>29</v>
      </c>
      <c r="E85" t="s">
        <v>58</v>
      </c>
      <c r="F85" t="s">
        <v>59</v>
      </c>
      <c r="G85" t="s">
        <v>53</v>
      </c>
      <c r="H85" s="1">
        <v>45412</v>
      </c>
      <c r="J85">
        <v>174000</v>
      </c>
      <c r="K85">
        <v>0</v>
      </c>
      <c r="L85" t="s">
        <v>24</v>
      </c>
      <c r="M85">
        <f ca="1">IF(ISBLANK(Table1[[#This Row],[Exit]]),DATEDIF(Table1[[#This Row],[Hire]],TODAY(),"Y"),DATEDIF(Table1[[#This Row],[Hire]],Table1[[#This Row],[Exit]],"Y"))</f>
        <v>1</v>
      </c>
      <c r="N85" t="str" cm="1">
        <f t="array" ref="N85">_xlfn.IFS(
AND(D85&gt;=26,D85&lt;=30),"26–30",
AND(D85&gt;=31,D85&lt;=35),"31–35",
AND(D85&gt;=36,D85&lt;=40),"36–40",
AND(D85&gt;=41,D85&lt;=45),"41–45",
AND(D85&gt;=46,D85&lt;=50),"46–50",
AND(D85&gt;=51,D85&lt;=60),"51–60")</f>
        <v>26–30</v>
      </c>
    </row>
    <row r="86" spans="1:14" x14ac:dyDescent="0.35">
      <c r="A86" t="s">
        <v>203</v>
      </c>
      <c r="B86" t="s">
        <v>204</v>
      </c>
      <c r="C86" t="s">
        <v>41</v>
      </c>
      <c r="D86">
        <v>41</v>
      </c>
      <c r="E86" t="s">
        <v>15</v>
      </c>
      <c r="F86" t="s">
        <v>16</v>
      </c>
      <c r="G86" t="s">
        <v>53</v>
      </c>
      <c r="H86" s="1">
        <v>43887</v>
      </c>
      <c r="I86" s="1">
        <v>45332</v>
      </c>
      <c r="J86">
        <v>176000</v>
      </c>
      <c r="K86">
        <v>0.15</v>
      </c>
      <c r="L86" t="s">
        <v>18</v>
      </c>
      <c r="M86">
        <f ca="1">IF(ISBLANK(Table1[[#This Row],[Exit]]),DATEDIF(Table1[[#This Row],[Hire]],TODAY(),"Y"),DATEDIF(Table1[[#This Row],[Hire]],Table1[[#This Row],[Exit]],"Y"))</f>
        <v>3</v>
      </c>
      <c r="N86" t="str" cm="1">
        <f t="array" ref="N86">_xlfn.IFS(
AND(D86&gt;=26,D86&lt;=30),"26–30",
AND(D86&gt;=31,D86&lt;=35),"31–35",
AND(D86&gt;=36,D86&lt;=40),"36–40",
AND(D86&gt;=41,D86&lt;=45),"41–45",
AND(D86&gt;=46,D86&lt;=50),"46–50",
AND(D86&gt;=51,D86&lt;=60),"51–60")</f>
        <v>41–45</v>
      </c>
    </row>
    <row r="87" spans="1:14" x14ac:dyDescent="0.35">
      <c r="A87" t="s">
        <v>205</v>
      </c>
      <c r="B87" t="s">
        <v>206</v>
      </c>
      <c r="C87" t="s">
        <v>21</v>
      </c>
      <c r="D87">
        <v>47</v>
      </c>
      <c r="E87" t="s">
        <v>22</v>
      </c>
      <c r="F87" t="s">
        <v>16</v>
      </c>
      <c r="G87" t="s">
        <v>53</v>
      </c>
      <c r="H87" s="1">
        <v>44815</v>
      </c>
      <c r="J87">
        <v>178000</v>
      </c>
      <c r="K87">
        <v>0</v>
      </c>
      <c r="L87" t="s">
        <v>24</v>
      </c>
      <c r="M87">
        <f ca="1">IF(ISBLANK(Table1[[#This Row],[Exit]]),DATEDIF(Table1[[#This Row],[Hire]],TODAY(),"Y"),DATEDIF(Table1[[#This Row],[Hire]],Table1[[#This Row],[Exit]],"Y"))</f>
        <v>3</v>
      </c>
      <c r="N87" t="str" cm="1">
        <f t="array" ref="N87">_xlfn.IFS(
AND(D87&gt;=26,D87&lt;=30),"26–30",
AND(D87&gt;=31,D87&lt;=35),"31–35",
AND(D87&gt;=36,D87&lt;=40),"36–40",
AND(D87&gt;=41,D87&lt;=45),"41–45",
AND(D87&gt;=46,D87&lt;=50),"46–50",
AND(D87&gt;=51,D87&lt;=60),"51–60")</f>
        <v>46–50</v>
      </c>
    </row>
    <row r="88" spans="1:14" x14ac:dyDescent="0.35">
      <c r="A88" t="s">
        <v>207</v>
      </c>
      <c r="B88" t="s">
        <v>208</v>
      </c>
      <c r="C88" t="s">
        <v>14</v>
      </c>
      <c r="D88">
        <v>38</v>
      </c>
      <c r="E88" t="s">
        <v>81</v>
      </c>
      <c r="F88" t="s">
        <v>43</v>
      </c>
      <c r="G88" t="s">
        <v>53</v>
      </c>
      <c r="H88" s="1">
        <v>45430</v>
      </c>
      <c r="J88">
        <v>180000</v>
      </c>
      <c r="K88">
        <v>0.21</v>
      </c>
      <c r="L88" t="s">
        <v>24</v>
      </c>
      <c r="M88">
        <f ca="1">IF(ISBLANK(Table1[[#This Row],[Exit]]),DATEDIF(Table1[[#This Row],[Hire]],TODAY(),"Y"),DATEDIF(Table1[[#This Row],[Hire]],Table1[[#This Row],[Exit]],"Y"))</f>
        <v>1</v>
      </c>
      <c r="N88" t="str" cm="1">
        <f t="array" ref="N88">_xlfn.IFS(
AND(D88&gt;=26,D88&lt;=30),"26–30",
AND(D88&gt;=31,D88&lt;=35),"31–35",
AND(D88&gt;=36,D88&lt;=40),"36–40",
AND(D88&gt;=41,D88&lt;=45),"41–45",
AND(D88&gt;=46,D88&lt;=50),"46–50",
AND(D88&gt;=51,D88&lt;=60),"51–60")</f>
        <v>36–40</v>
      </c>
    </row>
    <row r="89" spans="1:14" x14ac:dyDescent="0.35">
      <c r="A89" t="s">
        <v>209</v>
      </c>
      <c r="B89" t="s">
        <v>210</v>
      </c>
      <c r="C89" t="s">
        <v>14</v>
      </c>
      <c r="D89">
        <v>40</v>
      </c>
      <c r="E89" t="s">
        <v>52</v>
      </c>
      <c r="F89" t="s">
        <v>16</v>
      </c>
      <c r="G89" t="s">
        <v>17</v>
      </c>
      <c r="H89" s="1">
        <v>44509</v>
      </c>
      <c r="J89">
        <v>182000</v>
      </c>
      <c r="K89">
        <v>0.37</v>
      </c>
      <c r="L89" t="s">
        <v>24</v>
      </c>
      <c r="M89">
        <f ca="1">IF(ISBLANK(Table1[[#This Row],[Exit]]),DATEDIF(Table1[[#This Row],[Hire]],TODAY(),"Y"),DATEDIF(Table1[[#This Row],[Hire]],Table1[[#This Row],[Exit]],"Y"))</f>
        <v>4</v>
      </c>
      <c r="N89" t="str" cm="1">
        <f t="array" ref="N89">_xlfn.IFS(
AND(D89&gt;=26,D89&lt;=30),"26–30",
AND(D89&gt;=31,D89&lt;=35),"31–35",
AND(D89&gt;=36,D89&lt;=40),"36–40",
AND(D89&gt;=41,D89&lt;=45),"41–45",
AND(D89&gt;=46,D89&lt;=50),"46–50",
AND(D89&gt;=51,D89&lt;=60),"51–60")</f>
        <v>36–40</v>
      </c>
    </row>
    <row r="90" spans="1:14" x14ac:dyDescent="0.35">
      <c r="A90" t="s">
        <v>211</v>
      </c>
      <c r="B90" t="s">
        <v>212</v>
      </c>
      <c r="C90" t="s">
        <v>21</v>
      </c>
      <c r="D90">
        <v>45</v>
      </c>
      <c r="E90" t="s">
        <v>66</v>
      </c>
      <c r="F90" t="s">
        <v>16</v>
      </c>
      <c r="G90" t="s">
        <v>23</v>
      </c>
      <c r="H90" s="1">
        <v>43963</v>
      </c>
      <c r="I90" s="1">
        <v>45332</v>
      </c>
      <c r="J90">
        <v>184000</v>
      </c>
      <c r="K90">
        <v>0.15</v>
      </c>
      <c r="L90" t="s">
        <v>18</v>
      </c>
      <c r="M90">
        <f ca="1">IF(ISBLANK(Table1[[#This Row],[Exit]]),DATEDIF(Table1[[#This Row],[Hire]],TODAY(),"Y"),DATEDIF(Table1[[#This Row],[Hire]],Table1[[#This Row],[Exit]],"Y"))</f>
        <v>3</v>
      </c>
      <c r="N90" t="str" cm="1">
        <f t="array" ref="N90">_xlfn.IFS(
AND(D90&gt;=26,D90&lt;=30),"26–30",
AND(D90&gt;=31,D90&lt;=35),"31–35",
AND(D90&gt;=36,D90&lt;=40),"36–40",
AND(D90&gt;=41,D90&lt;=45),"41–45",
AND(D90&gt;=46,D90&lt;=50),"46–50",
AND(D90&gt;=51,D90&lt;=60),"51–60")</f>
        <v>41–45</v>
      </c>
    </row>
    <row r="91" spans="1:14" x14ac:dyDescent="0.35">
      <c r="A91" t="s">
        <v>213</v>
      </c>
      <c r="B91" t="s">
        <v>214</v>
      </c>
      <c r="C91" t="s">
        <v>21</v>
      </c>
      <c r="D91">
        <v>26</v>
      </c>
      <c r="E91" t="s">
        <v>31</v>
      </c>
      <c r="F91" t="s">
        <v>16</v>
      </c>
      <c r="G91" t="s">
        <v>53</v>
      </c>
      <c r="H91" s="1">
        <v>44815</v>
      </c>
      <c r="J91">
        <v>186000</v>
      </c>
      <c r="K91">
        <v>0.14000000000000001</v>
      </c>
      <c r="L91" t="s">
        <v>24</v>
      </c>
      <c r="M91">
        <f ca="1">IF(ISBLANK(Table1[[#This Row],[Exit]]),DATEDIF(Table1[[#This Row],[Hire]],TODAY(),"Y"),DATEDIF(Table1[[#This Row],[Hire]],Table1[[#This Row],[Exit]],"Y"))</f>
        <v>3</v>
      </c>
      <c r="N91" t="str" cm="1">
        <f t="array" ref="N91">_xlfn.IFS(
AND(D91&gt;=26,D91&lt;=30),"26–30",
AND(D91&gt;=31,D91&lt;=35),"31–35",
AND(D91&gt;=36,D91&lt;=40),"36–40",
AND(D91&gt;=41,D91&lt;=45),"41–45",
AND(D91&gt;=46,D91&lt;=50),"46–50",
AND(D91&gt;=51,D91&lt;=60),"51–60")</f>
        <v>26–30</v>
      </c>
    </row>
    <row r="92" spans="1:14" x14ac:dyDescent="0.35">
      <c r="A92" t="s">
        <v>215</v>
      </c>
      <c r="B92" t="s">
        <v>216</v>
      </c>
      <c r="C92" t="s">
        <v>21</v>
      </c>
      <c r="D92">
        <v>35</v>
      </c>
      <c r="E92" t="s">
        <v>81</v>
      </c>
      <c r="F92" t="s">
        <v>49</v>
      </c>
      <c r="G92" t="s">
        <v>34</v>
      </c>
      <c r="H92" s="1">
        <v>44857</v>
      </c>
      <c r="J92">
        <v>188000</v>
      </c>
      <c r="K92">
        <v>0</v>
      </c>
      <c r="L92" t="s">
        <v>24</v>
      </c>
      <c r="M92">
        <f ca="1">IF(ISBLANK(Table1[[#This Row],[Exit]]),DATEDIF(Table1[[#This Row],[Hire]],TODAY(),"Y"),DATEDIF(Table1[[#This Row],[Hire]],Table1[[#This Row],[Exit]],"Y"))</f>
        <v>3</v>
      </c>
      <c r="N92" t="str" cm="1">
        <f t="array" ref="N92">_xlfn.IFS(
AND(D92&gt;=26,D92&lt;=30),"26–30",
AND(D92&gt;=31,D92&lt;=35),"31–35",
AND(D92&gt;=36,D92&lt;=40),"36–40",
AND(D92&gt;=41,D92&lt;=45),"41–45",
AND(D92&gt;=46,D92&lt;=50),"46–50",
AND(D92&gt;=51,D92&lt;=60),"51–60")</f>
        <v>31–35</v>
      </c>
    </row>
    <row r="93" spans="1:14" x14ac:dyDescent="0.35">
      <c r="A93" t="s">
        <v>217</v>
      </c>
      <c r="B93" t="s">
        <v>218</v>
      </c>
      <c r="C93" t="s">
        <v>21</v>
      </c>
      <c r="D93">
        <v>29</v>
      </c>
      <c r="E93" t="s">
        <v>92</v>
      </c>
      <c r="F93" t="s">
        <v>59</v>
      </c>
      <c r="G93" t="s">
        <v>53</v>
      </c>
      <c r="H93" s="1">
        <v>45527</v>
      </c>
      <c r="J93">
        <v>190000</v>
      </c>
      <c r="K93">
        <v>0</v>
      </c>
      <c r="L93" t="s">
        <v>24</v>
      </c>
      <c r="M93">
        <f ca="1">IF(ISBLANK(Table1[[#This Row],[Exit]]),DATEDIF(Table1[[#This Row],[Hire]],TODAY(),"Y"),DATEDIF(Table1[[#This Row],[Hire]],Table1[[#This Row],[Exit]],"Y"))</f>
        <v>1</v>
      </c>
      <c r="N93" t="str" cm="1">
        <f t="array" ref="N93">_xlfn.IFS(
AND(D93&gt;=26,D93&lt;=30),"26–30",
AND(D93&gt;=31,D93&lt;=35),"31–35",
AND(D93&gt;=36,D93&lt;=40),"36–40",
AND(D93&gt;=41,D93&lt;=45),"41–45",
AND(D93&gt;=46,D93&lt;=50),"46–50",
AND(D93&gt;=51,D93&lt;=60),"51–60")</f>
        <v>26–30</v>
      </c>
    </row>
    <row r="94" spans="1:14" x14ac:dyDescent="0.35">
      <c r="A94" t="s">
        <v>219</v>
      </c>
      <c r="B94" t="s">
        <v>220</v>
      </c>
      <c r="C94" t="s">
        <v>14</v>
      </c>
      <c r="D94">
        <v>35</v>
      </c>
      <c r="E94" t="s">
        <v>81</v>
      </c>
      <c r="F94" t="s">
        <v>46</v>
      </c>
      <c r="G94" t="s">
        <v>23</v>
      </c>
      <c r="H94" s="1">
        <v>45237</v>
      </c>
      <c r="J94">
        <v>192000</v>
      </c>
      <c r="K94">
        <v>7.0000000000000007E-2</v>
      </c>
      <c r="L94" t="s">
        <v>24</v>
      </c>
      <c r="M94">
        <f ca="1">IF(ISBLANK(Table1[[#This Row],[Exit]]),DATEDIF(Table1[[#This Row],[Hire]],TODAY(),"Y"),DATEDIF(Table1[[#This Row],[Hire]],Table1[[#This Row],[Exit]],"Y"))</f>
        <v>2</v>
      </c>
      <c r="N94" t="str" cm="1">
        <f t="array" ref="N94">_xlfn.IFS(
AND(D94&gt;=26,D94&lt;=30),"26–30",
AND(D94&gt;=31,D94&lt;=35),"31–35",
AND(D94&gt;=36,D94&lt;=40),"36–40",
AND(D94&gt;=41,D94&lt;=45),"41–45",
AND(D94&gt;=46,D94&lt;=50),"46–50",
AND(D94&gt;=51,D94&lt;=60),"51–60")</f>
        <v>31–35</v>
      </c>
    </row>
    <row r="95" spans="1:14" x14ac:dyDescent="0.35">
      <c r="A95" t="s">
        <v>221</v>
      </c>
      <c r="B95" t="s">
        <v>222</v>
      </c>
      <c r="C95" t="s">
        <v>21</v>
      </c>
      <c r="D95">
        <v>27</v>
      </c>
      <c r="E95" t="s">
        <v>22</v>
      </c>
      <c r="F95" t="s">
        <v>16</v>
      </c>
      <c r="G95" t="s">
        <v>34</v>
      </c>
      <c r="H95" s="1">
        <v>45206</v>
      </c>
      <c r="J95">
        <v>194000</v>
      </c>
      <c r="K95">
        <v>0</v>
      </c>
      <c r="L95" t="s">
        <v>24</v>
      </c>
      <c r="M95">
        <f ca="1">IF(ISBLANK(Table1[[#This Row],[Exit]]),DATEDIF(Table1[[#This Row],[Hire]],TODAY(),"Y"),DATEDIF(Table1[[#This Row],[Hire]],Table1[[#This Row],[Exit]],"Y"))</f>
        <v>2</v>
      </c>
      <c r="N95" t="str" cm="1">
        <f t="array" ref="N95">_xlfn.IFS(
AND(D95&gt;=26,D95&lt;=30),"26–30",
AND(D95&gt;=31,D95&lt;=35),"31–35",
AND(D95&gt;=36,D95&lt;=40),"36–40",
AND(D95&gt;=41,D95&lt;=45),"41–45",
AND(D95&gt;=46,D95&lt;=50),"46–50",
AND(D95&gt;=51,D95&lt;=60),"51–60")</f>
        <v>26–30</v>
      </c>
    </row>
    <row r="96" spans="1:14" x14ac:dyDescent="0.35">
      <c r="A96" t="s">
        <v>223</v>
      </c>
      <c r="B96" t="s">
        <v>224</v>
      </c>
      <c r="C96" t="s">
        <v>14</v>
      </c>
      <c r="D96">
        <v>26</v>
      </c>
      <c r="E96" t="s">
        <v>92</v>
      </c>
      <c r="F96" t="s">
        <v>59</v>
      </c>
      <c r="G96" t="s">
        <v>34</v>
      </c>
      <c r="H96" s="1">
        <v>44677</v>
      </c>
      <c r="J96">
        <v>196000</v>
      </c>
      <c r="K96">
        <v>0</v>
      </c>
      <c r="L96" t="s">
        <v>24</v>
      </c>
      <c r="M96">
        <f ca="1">IF(ISBLANK(Table1[[#This Row],[Exit]]),DATEDIF(Table1[[#This Row],[Hire]],TODAY(),"Y"),DATEDIF(Table1[[#This Row],[Hire]],Table1[[#This Row],[Exit]],"Y"))</f>
        <v>3</v>
      </c>
      <c r="N96" t="str" cm="1">
        <f t="array" ref="N96">_xlfn.IFS(
AND(D96&gt;=26,D96&lt;=30),"26–30",
AND(D96&gt;=31,D96&lt;=35),"31–35",
AND(D96&gt;=36,D96&lt;=40),"36–40",
AND(D96&gt;=41,D96&lt;=45),"41–45",
AND(D96&gt;=46,D96&lt;=50),"46–50",
AND(D96&gt;=51,D96&lt;=60),"51–60")</f>
        <v>26–30</v>
      </c>
    </row>
    <row r="97" spans="1:14" x14ac:dyDescent="0.35">
      <c r="A97" t="s">
        <v>225</v>
      </c>
      <c r="B97" t="s">
        <v>226</v>
      </c>
      <c r="C97" t="s">
        <v>14</v>
      </c>
      <c r="D97">
        <v>27</v>
      </c>
      <c r="E97" t="s">
        <v>31</v>
      </c>
      <c r="F97" t="s">
        <v>16</v>
      </c>
      <c r="G97" t="s">
        <v>17</v>
      </c>
      <c r="H97" s="1">
        <v>43889</v>
      </c>
      <c r="I97" s="1">
        <v>45332</v>
      </c>
      <c r="J97">
        <v>198000</v>
      </c>
      <c r="K97">
        <v>0</v>
      </c>
      <c r="L97" t="s">
        <v>18</v>
      </c>
      <c r="M97">
        <f ca="1">IF(ISBLANK(Table1[[#This Row],[Exit]]),DATEDIF(Table1[[#This Row],[Hire]],TODAY(),"Y"),DATEDIF(Table1[[#This Row],[Hire]],Table1[[#This Row],[Exit]],"Y"))</f>
        <v>3</v>
      </c>
      <c r="N97" t="str" cm="1">
        <f t="array" ref="N97">_xlfn.IFS(
AND(D97&gt;=26,D97&lt;=30),"26–30",
AND(D97&gt;=31,D97&lt;=35),"31–35",
AND(D97&gt;=36,D97&lt;=40),"36–40",
AND(D97&gt;=41,D97&lt;=45),"41–45",
AND(D97&gt;=46,D97&lt;=50),"46–50",
AND(D97&gt;=51,D97&lt;=60),"51–60")</f>
        <v>26–30</v>
      </c>
    </row>
    <row r="98" spans="1:14" x14ac:dyDescent="0.35">
      <c r="A98" t="s">
        <v>227</v>
      </c>
      <c r="B98" t="s">
        <v>228</v>
      </c>
      <c r="C98" t="s">
        <v>14</v>
      </c>
      <c r="D98">
        <v>30</v>
      </c>
      <c r="E98" t="s">
        <v>15</v>
      </c>
      <c r="F98" t="s">
        <v>16</v>
      </c>
      <c r="G98" t="s">
        <v>17</v>
      </c>
      <c r="H98" s="1">
        <v>44116</v>
      </c>
      <c r="J98">
        <v>200000</v>
      </c>
      <c r="K98">
        <v>0.1</v>
      </c>
      <c r="L98" t="s">
        <v>24</v>
      </c>
      <c r="M98">
        <f ca="1">IF(ISBLANK(Table1[[#This Row],[Exit]]),DATEDIF(Table1[[#This Row],[Hire]],TODAY(),"Y"),DATEDIF(Table1[[#This Row],[Hire]],Table1[[#This Row],[Exit]],"Y"))</f>
        <v>5</v>
      </c>
      <c r="N98" t="str" cm="1">
        <f t="array" ref="N98">_xlfn.IFS(
AND(D98&gt;=26,D98&lt;=30),"26–30",
AND(D98&gt;=31,D98&lt;=35),"31–35",
AND(D98&gt;=36,D98&lt;=40),"36–40",
AND(D98&gt;=41,D98&lt;=45),"41–45",
AND(D98&gt;=46,D98&lt;=50),"46–50",
AND(D98&gt;=51,D98&lt;=60),"51–60")</f>
        <v>26–30</v>
      </c>
    </row>
    <row r="99" spans="1:14" x14ac:dyDescent="0.35">
      <c r="A99" t="s">
        <v>229</v>
      </c>
      <c r="B99" t="s">
        <v>230</v>
      </c>
      <c r="C99" t="s">
        <v>14</v>
      </c>
      <c r="D99">
        <v>36</v>
      </c>
      <c r="E99" t="s">
        <v>22</v>
      </c>
      <c r="F99" t="s">
        <v>16</v>
      </c>
      <c r="G99" t="s">
        <v>23</v>
      </c>
      <c r="H99" s="1">
        <v>44588</v>
      </c>
      <c r="J99">
        <v>202000</v>
      </c>
      <c r="K99">
        <v>0</v>
      </c>
      <c r="L99" t="s">
        <v>24</v>
      </c>
      <c r="M99">
        <f ca="1">IF(ISBLANK(Table1[[#This Row],[Exit]]),DATEDIF(Table1[[#This Row],[Hire]],TODAY(),"Y"),DATEDIF(Table1[[#This Row],[Hire]],Table1[[#This Row],[Exit]],"Y"))</f>
        <v>4</v>
      </c>
      <c r="N99" t="str" cm="1">
        <f t="array" ref="N99">_xlfn.IFS(
AND(D99&gt;=26,D99&lt;=30),"26–30",
AND(D99&gt;=31,D99&lt;=35),"31–35",
AND(D99&gt;=36,D99&lt;=40),"36–40",
AND(D99&gt;=41,D99&lt;=45),"41–45",
AND(D99&gt;=46,D99&lt;=50),"46–50",
AND(D99&gt;=51,D99&lt;=60),"51–60")</f>
        <v>36–40</v>
      </c>
    </row>
    <row r="100" spans="1:14" x14ac:dyDescent="0.35">
      <c r="A100" t="s">
        <v>231</v>
      </c>
      <c r="B100" t="s">
        <v>232</v>
      </c>
      <c r="C100" t="s">
        <v>14</v>
      </c>
      <c r="D100">
        <v>45</v>
      </c>
      <c r="E100" t="s">
        <v>27</v>
      </c>
      <c r="F100" t="s">
        <v>28</v>
      </c>
      <c r="G100" t="s">
        <v>17</v>
      </c>
      <c r="H100" s="1">
        <v>45337</v>
      </c>
      <c r="J100">
        <v>204000</v>
      </c>
      <c r="K100">
        <v>0</v>
      </c>
      <c r="L100" t="s">
        <v>24</v>
      </c>
      <c r="M100">
        <f ca="1">IF(ISBLANK(Table1[[#This Row],[Exit]]),DATEDIF(Table1[[#This Row],[Hire]],TODAY(),"Y"),DATEDIF(Table1[[#This Row],[Hire]],Table1[[#This Row],[Exit]],"Y"))</f>
        <v>1</v>
      </c>
      <c r="N100" t="str" cm="1">
        <f t="array" ref="N100">_xlfn.IFS(
AND(D100&gt;=26,D100&lt;=30),"26–30",
AND(D100&gt;=31,D100&lt;=35),"31–35",
AND(D100&gt;=36,D100&lt;=40),"36–40",
AND(D100&gt;=41,D100&lt;=45),"41–45",
AND(D100&gt;=46,D100&lt;=50),"46–50",
AND(D100&gt;=51,D100&lt;=60),"51–60")</f>
        <v>41–45</v>
      </c>
    </row>
    <row r="101" spans="1:14" x14ac:dyDescent="0.35">
      <c r="A101" t="s">
        <v>233</v>
      </c>
      <c r="B101" t="s">
        <v>234</v>
      </c>
      <c r="C101" t="s">
        <v>14</v>
      </c>
      <c r="D101">
        <v>37</v>
      </c>
      <c r="E101" t="s">
        <v>31</v>
      </c>
      <c r="F101" t="s">
        <v>16</v>
      </c>
      <c r="G101" t="s">
        <v>23</v>
      </c>
      <c r="H101" s="1">
        <v>45332</v>
      </c>
      <c r="J101">
        <v>206000</v>
      </c>
      <c r="K101">
        <v>0</v>
      </c>
      <c r="L101" t="s">
        <v>24</v>
      </c>
      <c r="M101">
        <f ca="1">IF(ISBLANK(Table1[[#This Row],[Exit]]),DATEDIF(Table1[[#This Row],[Hire]],TODAY(),"Y"),DATEDIF(Table1[[#This Row],[Hire]],Table1[[#This Row],[Exit]],"Y"))</f>
        <v>1</v>
      </c>
      <c r="N101" t="str" cm="1">
        <f t="array" ref="N101">_xlfn.IFS(
AND(D101&gt;=26,D101&lt;=30),"26–30",
AND(D101&gt;=31,D101&lt;=35),"31–35",
AND(D101&gt;=36,D101&lt;=40),"36–40",
AND(D101&gt;=41,D101&lt;=45),"41–45",
AND(D101&gt;=46,D101&lt;=50),"46–50",
AND(D101&gt;=51,D101&lt;=60),"51–60")</f>
        <v>36–40</v>
      </c>
    </row>
    <row r="102" spans="1:14" x14ac:dyDescent="0.35">
      <c r="A102" t="s">
        <v>235</v>
      </c>
      <c r="B102" t="s">
        <v>236</v>
      </c>
      <c r="C102" t="s">
        <v>14</v>
      </c>
      <c r="D102">
        <v>38</v>
      </c>
      <c r="E102" t="s">
        <v>27</v>
      </c>
      <c r="F102" t="s">
        <v>28</v>
      </c>
      <c r="G102" t="s">
        <v>34</v>
      </c>
      <c r="H102" s="1">
        <v>44183</v>
      </c>
      <c r="J102">
        <v>208000</v>
      </c>
      <c r="K102">
        <v>0</v>
      </c>
      <c r="L102" t="s">
        <v>24</v>
      </c>
      <c r="M102">
        <f ca="1">IF(ISBLANK(Table1[[#This Row],[Exit]]),DATEDIF(Table1[[#This Row],[Hire]],TODAY(),"Y"),DATEDIF(Table1[[#This Row],[Hire]],Table1[[#This Row],[Exit]],"Y"))</f>
        <v>5</v>
      </c>
      <c r="N102" t="str" cm="1">
        <f t="array" ref="N102">_xlfn.IFS(
AND(D102&gt;=26,D102&lt;=30),"26–30",
AND(D102&gt;=31,D102&lt;=35),"31–35",
AND(D102&gt;=36,D102&lt;=40),"36–40",
AND(D102&gt;=41,D102&lt;=45),"41–45",
AND(D102&gt;=46,D102&lt;=50),"46–50",
AND(D102&gt;=51,D102&lt;=60),"51–60")</f>
        <v>36–40</v>
      </c>
    </row>
    <row r="103" spans="1:14" x14ac:dyDescent="0.35">
      <c r="A103" t="s">
        <v>237</v>
      </c>
      <c r="B103" t="s">
        <v>238</v>
      </c>
      <c r="C103" t="s">
        <v>21</v>
      </c>
      <c r="D103">
        <v>45</v>
      </c>
      <c r="E103" t="s">
        <v>15</v>
      </c>
      <c r="F103" t="s">
        <v>16</v>
      </c>
      <c r="G103" t="s">
        <v>23</v>
      </c>
      <c r="H103" s="1">
        <v>43837</v>
      </c>
      <c r="J103">
        <v>210000</v>
      </c>
      <c r="K103">
        <v>0</v>
      </c>
      <c r="L103" t="s">
        <v>24</v>
      </c>
      <c r="M103">
        <f ca="1">IF(ISBLANK(Table1[[#This Row],[Exit]]),DATEDIF(Table1[[#This Row],[Hire]],TODAY(),"Y"),DATEDIF(Table1[[#This Row],[Hire]],Table1[[#This Row],[Exit]],"Y"))</f>
        <v>6</v>
      </c>
      <c r="N103" t="str" cm="1">
        <f t="array" ref="N103">_xlfn.IFS(
AND(D103&gt;=26,D103&lt;=30),"26–30",
AND(D103&gt;=31,D103&lt;=35),"31–35",
AND(D103&gt;=36,D103&lt;=40),"36–40",
AND(D103&gt;=41,D103&lt;=45),"41–45",
AND(D103&gt;=46,D103&lt;=50),"46–50",
AND(D103&gt;=51,D103&lt;=60),"51–60")</f>
        <v>41–45</v>
      </c>
    </row>
    <row r="104" spans="1:14" x14ac:dyDescent="0.35">
      <c r="A104" t="s">
        <v>239</v>
      </c>
      <c r="B104" t="s">
        <v>240</v>
      </c>
      <c r="C104" t="s">
        <v>14</v>
      </c>
      <c r="D104">
        <v>51</v>
      </c>
      <c r="E104" t="s">
        <v>15</v>
      </c>
      <c r="F104" t="s">
        <v>16</v>
      </c>
      <c r="G104" t="s">
        <v>34</v>
      </c>
      <c r="H104" s="1">
        <v>45206</v>
      </c>
      <c r="J104">
        <v>212000</v>
      </c>
      <c r="K104">
        <v>0.33</v>
      </c>
      <c r="L104" t="s">
        <v>24</v>
      </c>
      <c r="M104">
        <f ca="1">IF(ISBLANK(Table1[[#This Row],[Exit]]),DATEDIF(Table1[[#This Row],[Hire]],TODAY(),"Y"),DATEDIF(Table1[[#This Row],[Hire]],Table1[[#This Row],[Exit]],"Y"))</f>
        <v>2</v>
      </c>
      <c r="N104" t="str" cm="1">
        <f t="array" ref="N104">_xlfn.IFS(
AND(D104&gt;=26,D104&lt;=30),"26–30",
AND(D104&gt;=31,D104&lt;=35),"31–35",
AND(D104&gt;=36,D104&lt;=40),"36–40",
AND(D104&gt;=41,D104&lt;=45),"41–45",
AND(D104&gt;=46,D104&lt;=50),"46–50",
AND(D104&gt;=51,D104&lt;=60),"51–60")</f>
        <v>51–60</v>
      </c>
    </row>
    <row r="105" spans="1:14" x14ac:dyDescent="0.35">
      <c r="A105" t="s">
        <v>241</v>
      </c>
      <c r="B105" t="s">
        <v>242</v>
      </c>
      <c r="C105" t="s">
        <v>21</v>
      </c>
      <c r="D105">
        <v>56</v>
      </c>
      <c r="E105" t="s">
        <v>42</v>
      </c>
      <c r="F105" t="s">
        <v>43</v>
      </c>
      <c r="G105" t="s">
        <v>34</v>
      </c>
      <c r="H105" s="1">
        <v>44487</v>
      </c>
      <c r="I105" s="1">
        <v>44931</v>
      </c>
      <c r="J105">
        <v>214000</v>
      </c>
      <c r="K105">
        <v>0.12</v>
      </c>
      <c r="L105" t="s">
        <v>18</v>
      </c>
      <c r="M105">
        <f ca="1">IF(ISBLANK(Table1[[#This Row],[Exit]]),DATEDIF(Table1[[#This Row],[Hire]],TODAY(),"Y"),DATEDIF(Table1[[#This Row],[Hire]],Table1[[#This Row],[Exit]],"Y"))</f>
        <v>1</v>
      </c>
      <c r="N105" t="str" cm="1">
        <f t="array" ref="N105">_xlfn.IFS(
AND(D105&gt;=26,D105&lt;=30),"26–30",
AND(D105&gt;=31,D105&lt;=35),"31–35",
AND(D105&gt;=36,D105&lt;=40),"36–40",
AND(D105&gt;=41,D105&lt;=45),"41–45",
AND(D105&gt;=46,D105&lt;=50),"46–50",
AND(D105&gt;=51,D105&lt;=60),"51–60")</f>
        <v>51–60</v>
      </c>
    </row>
    <row r="106" spans="1:14" x14ac:dyDescent="0.35">
      <c r="A106" t="s">
        <v>243</v>
      </c>
      <c r="B106" t="s">
        <v>244</v>
      </c>
      <c r="C106" t="s">
        <v>21</v>
      </c>
      <c r="D106">
        <v>53</v>
      </c>
      <c r="E106" t="s">
        <v>42</v>
      </c>
      <c r="F106" t="s">
        <v>46</v>
      </c>
      <c r="G106" t="s">
        <v>23</v>
      </c>
      <c r="H106" s="1">
        <v>44791</v>
      </c>
      <c r="J106">
        <v>216000</v>
      </c>
      <c r="K106">
        <v>0</v>
      </c>
      <c r="L106" t="s">
        <v>24</v>
      </c>
      <c r="M106">
        <f ca="1">IF(ISBLANK(Table1[[#This Row],[Exit]]),DATEDIF(Table1[[#This Row],[Hire]],TODAY(),"Y"),DATEDIF(Table1[[#This Row],[Hire]],Table1[[#This Row],[Exit]],"Y"))</f>
        <v>3</v>
      </c>
      <c r="N106" t="str" cm="1">
        <f t="array" ref="N106">_xlfn.IFS(
AND(D106&gt;=26,D106&lt;=30),"26–30",
AND(D106&gt;=31,D106&lt;=35),"31–35",
AND(D106&gt;=36,D106&lt;=40),"36–40",
AND(D106&gt;=41,D106&lt;=45),"41–45",
AND(D106&gt;=46,D106&lt;=50),"46–50",
AND(D106&gt;=51,D106&lt;=60),"51–60")</f>
        <v>51–60</v>
      </c>
    </row>
    <row r="107" spans="1:14" x14ac:dyDescent="0.35">
      <c r="A107" t="s">
        <v>245</v>
      </c>
      <c r="B107" t="s">
        <v>246</v>
      </c>
      <c r="C107" t="s">
        <v>41</v>
      </c>
      <c r="D107">
        <v>47</v>
      </c>
      <c r="E107" t="s">
        <v>42</v>
      </c>
      <c r="F107" t="s">
        <v>49</v>
      </c>
      <c r="G107" t="s">
        <v>17</v>
      </c>
      <c r="H107" s="1">
        <v>45440</v>
      </c>
      <c r="J107">
        <v>218000</v>
      </c>
      <c r="K107">
        <v>0.28000000000000003</v>
      </c>
      <c r="L107" t="s">
        <v>24</v>
      </c>
      <c r="M107">
        <f ca="1">IF(ISBLANK(Table1[[#This Row],[Exit]]),DATEDIF(Table1[[#This Row],[Hire]],TODAY(),"Y"),DATEDIF(Table1[[#This Row],[Hire]],Table1[[#This Row],[Exit]],"Y"))</f>
        <v>1</v>
      </c>
      <c r="N107" t="str" cm="1">
        <f t="array" ref="N107">_xlfn.IFS(
AND(D107&gt;=26,D107&lt;=30),"26–30",
AND(D107&gt;=31,D107&lt;=35),"31–35",
AND(D107&gt;=36,D107&lt;=40),"36–40",
AND(D107&gt;=41,D107&lt;=45),"41–45",
AND(D107&gt;=46,D107&lt;=50),"46–50",
AND(D107&gt;=51,D107&lt;=60),"51–60")</f>
        <v>46–50</v>
      </c>
    </row>
    <row r="108" spans="1:14" x14ac:dyDescent="0.35">
      <c r="A108" t="s">
        <v>50</v>
      </c>
      <c r="B108" t="s">
        <v>247</v>
      </c>
      <c r="C108" t="s">
        <v>14</v>
      </c>
      <c r="D108">
        <v>36</v>
      </c>
      <c r="E108" t="s">
        <v>52</v>
      </c>
      <c r="F108" t="s">
        <v>16</v>
      </c>
      <c r="G108" t="s">
        <v>53</v>
      </c>
      <c r="H108" s="1">
        <v>44811</v>
      </c>
      <c r="J108">
        <v>220000</v>
      </c>
      <c r="K108">
        <v>0</v>
      </c>
      <c r="L108" t="s">
        <v>24</v>
      </c>
      <c r="M108">
        <f ca="1">IF(ISBLANK(Table1[[#This Row],[Exit]]),DATEDIF(Table1[[#This Row],[Hire]],TODAY(),"Y"),DATEDIF(Table1[[#This Row],[Hire]],Table1[[#This Row],[Exit]],"Y"))</f>
        <v>3</v>
      </c>
      <c r="N108" t="str" cm="1">
        <f t="array" ref="N108">_xlfn.IFS(
AND(D108&gt;=26,D108&lt;=30),"26–30",
AND(D108&gt;=31,D108&lt;=35),"31–35",
AND(D108&gt;=36,D108&lt;=40),"36–40",
AND(D108&gt;=41,D108&lt;=45),"41–45",
AND(D108&gt;=46,D108&lt;=50),"46–50",
AND(D108&gt;=51,D108&lt;=60),"51–60")</f>
        <v>36–40</v>
      </c>
    </row>
    <row r="109" spans="1:14" x14ac:dyDescent="0.35">
      <c r="A109" t="s">
        <v>248</v>
      </c>
      <c r="B109" t="s">
        <v>249</v>
      </c>
      <c r="C109" t="s">
        <v>41</v>
      </c>
      <c r="D109">
        <v>41</v>
      </c>
      <c r="E109" t="s">
        <v>42</v>
      </c>
      <c r="F109" t="s">
        <v>46</v>
      </c>
      <c r="G109" t="s">
        <v>53</v>
      </c>
      <c r="H109" s="1">
        <v>45294</v>
      </c>
      <c r="J109">
        <v>222000</v>
      </c>
      <c r="K109">
        <v>0.4</v>
      </c>
      <c r="L109" t="s">
        <v>24</v>
      </c>
      <c r="M109">
        <f ca="1">IF(ISBLANK(Table1[[#This Row],[Exit]]),DATEDIF(Table1[[#This Row],[Hire]],TODAY(),"Y"),DATEDIF(Table1[[#This Row],[Hire]],Table1[[#This Row],[Exit]],"Y"))</f>
        <v>2</v>
      </c>
      <c r="N109" t="str" cm="1">
        <f t="array" ref="N109">_xlfn.IFS(
AND(D109&gt;=26,D109&lt;=30),"26–30",
AND(D109&gt;=31,D109&lt;=35),"31–35",
AND(D109&gt;=36,D109&lt;=40),"36–40",
AND(D109&gt;=41,D109&lt;=45),"41–45",
AND(D109&gt;=46,D109&lt;=50),"46–50",
AND(D109&gt;=51,D109&lt;=60),"51–60")</f>
        <v>41–45</v>
      </c>
    </row>
    <row r="110" spans="1:14" x14ac:dyDescent="0.35">
      <c r="A110" t="s">
        <v>250</v>
      </c>
      <c r="B110" t="s">
        <v>251</v>
      </c>
      <c r="C110" t="s">
        <v>14</v>
      </c>
      <c r="D110">
        <v>30</v>
      </c>
      <c r="E110" t="s">
        <v>58</v>
      </c>
      <c r="F110" t="s">
        <v>59</v>
      </c>
      <c r="G110" t="s">
        <v>34</v>
      </c>
      <c r="H110" s="1">
        <v>45074</v>
      </c>
      <c r="J110">
        <v>224000</v>
      </c>
      <c r="K110">
        <v>0</v>
      </c>
      <c r="L110" t="s">
        <v>24</v>
      </c>
      <c r="M110">
        <f ca="1">IF(ISBLANK(Table1[[#This Row],[Exit]]),DATEDIF(Table1[[#This Row],[Hire]],TODAY(),"Y"),DATEDIF(Table1[[#This Row],[Hire]],Table1[[#This Row],[Exit]],"Y"))</f>
        <v>2</v>
      </c>
      <c r="N110" t="str" cm="1">
        <f t="array" ref="N110">_xlfn.IFS(
AND(D110&gt;=26,D110&lt;=30),"26–30",
AND(D110&gt;=31,D110&lt;=35),"31–35",
AND(D110&gt;=36,D110&lt;=40),"36–40",
AND(D110&gt;=41,D110&lt;=45),"41–45",
AND(D110&gt;=46,D110&lt;=50),"46–50",
AND(D110&gt;=51,D110&lt;=60),"51–60")</f>
        <v>26–30</v>
      </c>
    </row>
    <row r="111" spans="1:14" x14ac:dyDescent="0.35">
      <c r="A111" t="s">
        <v>252</v>
      </c>
      <c r="B111" t="s">
        <v>253</v>
      </c>
      <c r="C111" t="s">
        <v>21</v>
      </c>
      <c r="D111">
        <v>30</v>
      </c>
      <c r="E111" t="s">
        <v>52</v>
      </c>
      <c r="F111" t="s">
        <v>16</v>
      </c>
      <c r="G111" t="s">
        <v>23</v>
      </c>
      <c r="H111" s="1">
        <v>45245</v>
      </c>
      <c r="J111">
        <v>226000</v>
      </c>
      <c r="K111">
        <v>0.37</v>
      </c>
      <c r="L111" t="s">
        <v>24</v>
      </c>
      <c r="M111">
        <f ca="1">IF(ISBLANK(Table1[[#This Row],[Exit]]),DATEDIF(Table1[[#This Row],[Hire]],TODAY(),"Y"),DATEDIF(Table1[[#This Row],[Hire]],Table1[[#This Row],[Exit]],"Y"))</f>
        <v>2</v>
      </c>
      <c r="N111" t="str" cm="1">
        <f t="array" ref="N111">_xlfn.IFS(
AND(D111&gt;=26,D111&lt;=30),"26–30",
AND(D111&gt;=31,D111&lt;=35),"31–35",
AND(D111&gt;=36,D111&lt;=40),"36–40",
AND(D111&gt;=41,D111&lt;=45),"41–45",
AND(D111&gt;=46,D111&lt;=50),"46–50",
AND(D111&gt;=51,D111&lt;=60),"51–60")</f>
        <v>26–30</v>
      </c>
    </row>
    <row r="112" spans="1:14" x14ac:dyDescent="0.35">
      <c r="A112" t="s">
        <v>254</v>
      </c>
      <c r="B112" t="s">
        <v>255</v>
      </c>
      <c r="C112" t="s">
        <v>14</v>
      </c>
      <c r="D112">
        <v>38</v>
      </c>
      <c r="E112" t="s">
        <v>52</v>
      </c>
      <c r="F112" t="s">
        <v>16</v>
      </c>
      <c r="G112" t="s">
        <v>34</v>
      </c>
      <c r="H112" s="1">
        <v>43851</v>
      </c>
      <c r="J112">
        <v>228000</v>
      </c>
      <c r="K112">
        <v>0.3</v>
      </c>
      <c r="L112" t="s">
        <v>24</v>
      </c>
      <c r="M112">
        <f ca="1">IF(ISBLANK(Table1[[#This Row],[Exit]]),DATEDIF(Table1[[#This Row],[Hire]],TODAY(),"Y"),DATEDIF(Table1[[#This Row],[Hire]],Table1[[#This Row],[Exit]],"Y"))</f>
        <v>6</v>
      </c>
      <c r="N112" t="str" cm="1">
        <f t="array" ref="N112">_xlfn.IFS(
AND(D112&gt;=26,D112&lt;=30),"26–30",
AND(D112&gt;=31,D112&lt;=35),"31–35",
AND(D112&gt;=36,D112&lt;=40),"36–40",
AND(D112&gt;=41,D112&lt;=45),"41–45",
AND(D112&gt;=46,D112&lt;=50),"46–50",
AND(D112&gt;=51,D112&lt;=60),"51–60")</f>
        <v>36–40</v>
      </c>
    </row>
    <row r="113" spans="1:14" x14ac:dyDescent="0.35">
      <c r="A113" t="s">
        <v>256</v>
      </c>
      <c r="B113" t="s">
        <v>257</v>
      </c>
      <c r="C113" t="s">
        <v>21</v>
      </c>
      <c r="D113">
        <v>28</v>
      </c>
      <c r="E113" t="s">
        <v>66</v>
      </c>
      <c r="F113" t="s">
        <v>16</v>
      </c>
      <c r="G113" t="s">
        <v>17</v>
      </c>
      <c r="H113" s="1">
        <v>45206</v>
      </c>
      <c r="J113">
        <v>230000</v>
      </c>
      <c r="K113">
        <v>0</v>
      </c>
      <c r="L113" t="s">
        <v>24</v>
      </c>
      <c r="M113">
        <f ca="1">IF(ISBLANK(Table1[[#This Row],[Exit]]),DATEDIF(Table1[[#This Row],[Hire]],TODAY(),"Y"),DATEDIF(Table1[[#This Row],[Hire]],Table1[[#This Row],[Exit]],"Y"))</f>
        <v>2</v>
      </c>
      <c r="N113" t="str" cm="1">
        <f t="array" ref="N113">_xlfn.IFS(
AND(D113&gt;=26,D113&lt;=30),"26–30",
AND(D113&gt;=31,D113&lt;=35),"31–35",
AND(D113&gt;=36,D113&lt;=40),"36–40",
AND(D113&gt;=41,D113&lt;=45),"41–45",
AND(D113&gt;=46,D113&lt;=50),"46–50",
AND(D113&gt;=51,D113&lt;=60),"51–60")</f>
        <v>26–30</v>
      </c>
    </row>
    <row r="114" spans="1:14" x14ac:dyDescent="0.35">
      <c r="A114" t="s">
        <v>258</v>
      </c>
      <c r="B114" t="s">
        <v>259</v>
      </c>
      <c r="C114" t="s">
        <v>14</v>
      </c>
      <c r="D114">
        <v>39</v>
      </c>
      <c r="E114" t="s">
        <v>58</v>
      </c>
      <c r="F114" t="s">
        <v>59</v>
      </c>
      <c r="G114" t="s">
        <v>23</v>
      </c>
      <c r="H114" s="1">
        <v>45401</v>
      </c>
      <c r="J114">
        <v>232000</v>
      </c>
      <c r="K114">
        <v>0</v>
      </c>
      <c r="L114" t="s">
        <v>24</v>
      </c>
      <c r="M114">
        <f ca="1">IF(ISBLANK(Table1[[#This Row],[Exit]]),DATEDIF(Table1[[#This Row],[Hire]],TODAY(),"Y"),DATEDIF(Table1[[#This Row],[Hire]],Table1[[#This Row],[Exit]],"Y"))</f>
        <v>1</v>
      </c>
      <c r="N114" t="str" cm="1">
        <f t="array" ref="N114">_xlfn.IFS(
AND(D114&gt;=26,D114&lt;=30),"26–30",
AND(D114&gt;=31,D114&lt;=35),"31–35",
AND(D114&gt;=36,D114&lt;=40),"36–40",
AND(D114&gt;=41,D114&lt;=45),"41–45",
AND(D114&gt;=46,D114&lt;=50),"46–50",
AND(D114&gt;=51,D114&lt;=60),"51–60")</f>
        <v>36–40</v>
      </c>
    </row>
    <row r="115" spans="1:14" x14ac:dyDescent="0.35">
      <c r="A115" t="s">
        <v>260</v>
      </c>
      <c r="B115" t="s">
        <v>261</v>
      </c>
      <c r="C115" t="s">
        <v>21</v>
      </c>
      <c r="D115">
        <v>31</v>
      </c>
      <c r="E115" t="s">
        <v>66</v>
      </c>
      <c r="F115" t="s">
        <v>16</v>
      </c>
      <c r="G115" t="s">
        <v>34</v>
      </c>
      <c r="H115" s="1">
        <v>44083</v>
      </c>
      <c r="J115">
        <v>234000</v>
      </c>
      <c r="K115">
        <v>0</v>
      </c>
      <c r="L115" t="s">
        <v>24</v>
      </c>
      <c r="M115">
        <f ca="1">IF(ISBLANK(Table1[[#This Row],[Exit]]),DATEDIF(Table1[[#This Row],[Hire]],TODAY(),"Y"),DATEDIF(Table1[[#This Row],[Hire]],Table1[[#This Row],[Exit]],"Y"))</f>
        <v>5</v>
      </c>
      <c r="N115" t="str" cm="1">
        <f t="array" ref="N115">_xlfn.IFS(
AND(D115&gt;=26,D115&lt;=30),"26–30",
AND(D115&gt;=31,D115&lt;=35),"31–35",
AND(D115&gt;=36,D115&lt;=40),"36–40",
AND(D115&gt;=41,D115&lt;=45),"41–45",
AND(D115&gt;=46,D115&lt;=50),"46–50",
AND(D115&gt;=51,D115&lt;=60),"51–60")</f>
        <v>31–35</v>
      </c>
    </row>
    <row r="116" spans="1:14" x14ac:dyDescent="0.35">
      <c r="A116" t="s">
        <v>262</v>
      </c>
      <c r="B116" t="s">
        <v>263</v>
      </c>
      <c r="C116" t="s">
        <v>21</v>
      </c>
      <c r="D116">
        <v>45</v>
      </c>
      <c r="E116" t="s">
        <v>66</v>
      </c>
      <c r="F116" t="s">
        <v>16</v>
      </c>
      <c r="G116" t="s">
        <v>53</v>
      </c>
      <c r="H116" s="1">
        <v>45233</v>
      </c>
      <c r="J116">
        <v>236000</v>
      </c>
      <c r="K116">
        <v>0.3</v>
      </c>
      <c r="L116" t="s">
        <v>24</v>
      </c>
      <c r="M116">
        <f ca="1">IF(ISBLANK(Table1[[#This Row],[Exit]]),DATEDIF(Table1[[#This Row],[Hire]],TODAY(),"Y"),DATEDIF(Table1[[#This Row],[Hire]],Table1[[#This Row],[Exit]],"Y"))</f>
        <v>2</v>
      </c>
      <c r="N116" t="str" cm="1">
        <f t="array" ref="N116">_xlfn.IFS(
AND(D116&gt;=26,D116&lt;=30),"26–30",
AND(D116&gt;=31,D116&lt;=35),"31–35",
AND(D116&gt;=36,D116&lt;=40),"36–40",
AND(D116&gt;=41,D116&lt;=45),"41–45",
AND(D116&gt;=46,D116&lt;=50),"46–50",
AND(D116&gt;=51,D116&lt;=60),"51–60")</f>
        <v>41–45</v>
      </c>
    </row>
    <row r="117" spans="1:14" x14ac:dyDescent="0.35">
      <c r="A117" t="s">
        <v>264</v>
      </c>
      <c r="B117" t="s">
        <v>265</v>
      </c>
      <c r="C117" t="s">
        <v>14</v>
      </c>
      <c r="D117">
        <v>50</v>
      </c>
      <c r="E117" t="s">
        <v>58</v>
      </c>
      <c r="F117" t="s">
        <v>59</v>
      </c>
      <c r="G117" t="s">
        <v>53</v>
      </c>
      <c r="H117" s="1">
        <v>45412</v>
      </c>
      <c r="J117">
        <v>238000</v>
      </c>
      <c r="K117">
        <v>0.33</v>
      </c>
      <c r="L117" t="s">
        <v>24</v>
      </c>
      <c r="M117">
        <f ca="1">IF(ISBLANK(Table1[[#This Row],[Exit]]),DATEDIF(Table1[[#This Row],[Hire]],TODAY(),"Y"),DATEDIF(Table1[[#This Row],[Hire]],Table1[[#This Row],[Exit]],"Y"))</f>
        <v>1</v>
      </c>
      <c r="N117" t="str" cm="1">
        <f t="array" ref="N117">_xlfn.IFS(
AND(D117&gt;=26,D117&lt;=30),"26–30",
AND(D117&gt;=31,D117&lt;=35),"31–35",
AND(D117&gt;=36,D117&lt;=40),"36–40",
AND(D117&gt;=41,D117&lt;=45),"41–45",
AND(D117&gt;=46,D117&lt;=50),"46–50",
AND(D117&gt;=51,D117&lt;=60),"51–60")</f>
        <v>46–50</v>
      </c>
    </row>
    <row r="118" spans="1:14" x14ac:dyDescent="0.35">
      <c r="A118" t="s">
        <v>266</v>
      </c>
      <c r="B118" t="s">
        <v>267</v>
      </c>
      <c r="C118" t="s">
        <v>14</v>
      </c>
      <c r="D118">
        <v>36</v>
      </c>
      <c r="E118" t="s">
        <v>15</v>
      </c>
      <c r="F118" t="s">
        <v>16</v>
      </c>
      <c r="G118" t="s">
        <v>53</v>
      </c>
      <c r="H118" s="1">
        <v>43887</v>
      </c>
      <c r="J118">
        <v>240000</v>
      </c>
      <c r="K118">
        <v>0</v>
      </c>
      <c r="L118" t="s">
        <v>24</v>
      </c>
      <c r="M118">
        <f ca="1">IF(ISBLANK(Table1[[#This Row],[Exit]]),DATEDIF(Table1[[#This Row],[Hire]],TODAY(),"Y"),DATEDIF(Table1[[#This Row],[Hire]],Table1[[#This Row],[Exit]],"Y"))</f>
        <v>5</v>
      </c>
      <c r="N118" t="str" cm="1">
        <f t="array" ref="N118">_xlfn.IFS(
AND(D118&gt;=26,D118&lt;=30),"26–30",
AND(D118&gt;=31,D118&lt;=35),"31–35",
AND(D118&gt;=36,D118&lt;=40),"36–40",
AND(D118&gt;=41,D118&lt;=45),"41–45",
AND(D118&gt;=46,D118&lt;=50),"46–50",
AND(D118&gt;=51,D118&lt;=60),"51–60")</f>
        <v>36–40</v>
      </c>
    </row>
    <row r="119" spans="1:14" x14ac:dyDescent="0.35">
      <c r="A119" t="s">
        <v>268</v>
      </c>
      <c r="B119" t="s">
        <v>269</v>
      </c>
      <c r="C119" t="s">
        <v>14</v>
      </c>
      <c r="D119">
        <v>45</v>
      </c>
      <c r="E119" t="s">
        <v>22</v>
      </c>
      <c r="F119" t="s">
        <v>16</v>
      </c>
      <c r="G119" t="s">
        <v>53</v>
      </c>
      <c r="H119" s="1">
        <v>44815</v>
      </c>
      <c r="J119">
        <v>242000</v>
      </c>
      <c r="K119">
        <v>0</v>
      </c>
      <c r="L119" t="s">
        <v>24</v>
      </c>
      <c r="M119">
        <f ca="1">IF(ISBLANK(Table1[[#This Row],[Exit]]),DATEDIF(Table1[[#This Row],[Hire]],TODAY(),"Y"),DATEDIF(Table1[[#This Row],[Hire]],Table1[[#This Row],[Exit]],"Y"))</f>
        <v>3</v>
      </c>
      <c r="N119" t="str" cm="1">
        <f t="array" ref="N119">_xlfn.IFS(
AND(D119&gt;=26,D119&lt;=30),"26–30",
AND(D119&gt;=31,D119&lt;=35),"31–35",
AND(D119&gt;=36,D119&lt;=40),"36–40",
AND(D119&gt;=41,D119&lt;=45),"41–45",
AND(D119&gt;=46,D119&lt;=50),"46–50",
AND(D119&gt;=51,D119&lt;=60),"51–60")</f>
        <v>41–45</v>
      </c>
    </row>
    <row r="120" spans="1:14" x14ac:dyDescent="0.35">
      <c r="A120" t="s">
        <v>270</v>
      </c>
      <c r="B120" t="s">
        <v>271</v>
      </c>
      <c r="C120" t="s">
        <v>21</v>
      </c>
      <c r="D120">
        <v>29</v>
      </c>
      <c r="E120" t="s">
        <v>81</v>
      </c>
      <c r="F120" t="s">
        <v>43</v>
      </c>
      <c r="G120" t="s">
        <v>53</v>
      </c>
      <c r="H120" s="1">
        <v>45430</v>
      </c>
      <c r="J120">
        <v>244000</v>
      </c>
      <c r="K120">
        <v>0.08</v>
      </c>
      <c r="L120" t="s">
        <v>24</v>
      </c>
      <c r="M120">
        <f ca="1">IF(ISBLANK(Table1[[#This Row],[Exit]]),DATEDIF(Table1[[#This Row],[Hire]],TODAY(),"Y"),DATEDIF(Table1[[#This Row],[Hire]],Table1[[#This Row],[Exit]],"Y"))</f>
        <v>1</v>
      </c>
      <c r="N120" t="str" cm="1">
        <f t="array" ref="N120">_xlfn.IFS(
AND(D120&gt;=26,D120&lt;=30),"26–30",
AND(D120&gt;=31,D120&lt;=35),"31–35",
AND(D120&gt;=36,D120&lt;=40),"36–40",
AND(D120&gt;=41,D120&lt;=45),"41–45",
AND(D120&gt;=46,D120&lt;=50),"46–50",
AND(D120&gt;=51,D120&lt;=60),"51–60")</f>
        <v>26–30</v>
      </c>
    </row>
    <row r="121" spans="1:14" x14ac:dyDescent="0.35">
      <c r="A121" t="s">
        <v>272</v>
      </c>
      <c r="B121" t="s">
        <v>273</v>
      </c>
      <c r="C121" t="s">
        <v>41</v>
      </c>
      <c r="D121">
        <v>41</v>
      </c>
      <c r="E121" t="s">
        <v>52</v>
      </c>
      <c r="F121" t="s">
        <v>16</v>
      </c>
      <c r="G121" t="s">
        <v>17</v>
      </c>
      <c r="H121" s="1">
        <v>44509</v>
      </c>
      <c r="J121">
        <v>246000</v>
      </c>
      <c r="K121">
        <v>0.14000000000000001</v>
      </c>
      <c r="L121" t="s">
        <v>24</v>
      </c>
      <c r="M121">
        <f ca="1">IF(ISBLANK(Table1[[#This Row],[Exit]]),DATEDIF(Table1[[#This Row],[Hire]],TODAY(),"Y"),DATEDIF(Table1[[#This Row],[Hire]],Table1[[#This Row],[Exit]],"Y"))</f>
        <v>4</v>
      </c>
      <c r="N121" t="str" cm="1">
        <f t="array" ref="N121">_xlfn.IFS(
AND(D121&gt;=26,D121&lt;=30),"26–30",
AND(D121&gt;=31,D121&lt;=35),"31–35",
AND(D121&gt;=36,D121&lt;=40),"36–40",
AND(D121&gt;=41,D121&lt;=45),"41–45",
AND(D121&gt;=46,D121&lt;=50),"46–50",
AND(D121&gt;=51,D121&lt;=60),"51–60")</f>
        <v>41–45</v>
      </c>
    </row>
    <row r="122" spans="1:14" x14ac:dyDescent="0.35">
      <c r="A122" t="s">
        <v>29</v>
      </c>
      <c r="B122" t="s">
        <v>274</v>
      </c>
      <c r="C122" t="s">
        <v>14</v>
      </c>
      <c r="D122">
        <v>47</v>
      </c>
      <c r="E122" t="s">
        <v>66</v>
      </c>
      <c r="F122" t="s">
        <v>16</v>
      </c>
      <c r="G122" t="s">
        <v>23</v>
      </c>
      <c r="H122" s="1">
        <v>43963</v>
      </c>
      <c r="J122">
        <v>248000</v>
      </c>
      <c r="K122">
        <v>0</v>
      </c>
      <c r="L122" t="s">
        <v>24</v>
      </c>
      <c r="M122">
        <f ca="1">IF(ISBLANK(Table1[[#This Row],[Exit]]),DATEDIF(Table1[[#This Row],[Hire]],TODAY(),"Y"),DATEDIF(Table1[[#This Row],[Hire]],Table1[[#This Row],[Exit]],"Y"))</f>
        <v>5</v>
      </c>
      <c r="N122" t="str" cm="1">
        <f t="array" ref="N122">_xlfn.IFS(
AND(D122&gt;=26,D122&lt;=30),"26–30",
AND(D122&gt;=31,D122&lt;=35),"31–35",
AND(D122&gt;=36,D122&lt;=40),"36–40",
AND(D122&gt;=41,D122&lt;=45),"41–45",
AND(D122&gt;=46,D122&lt;=50),"46–50",
AND(D122&gt;=51,D122&lt;=60),"51–60")</f>
        <v>46–50</v>
      </c>
    </row>
    <row r="123" spans="1:14" x14ac:dyDescent="0.35">
      <c r="A123" t="s">
        <v>125</v>
      </c>
      <c r="B123" t="s">
        <v>275</v>
      </c>
      <c r="C123" t="s">
        <v>14</v>
      </c>
      <c r="D123">
        <v>38</v>
      </c>
      <c r="E123" t="s">
        <v>31</v>
      </c>
      <c r="F123" t="s">
        <v>16</v>
      </c>
      <c r="G123" t="s">
        <v>53</v>
      </c>
      <c r="H123" s="1">
        <v>44815</v>
      </c>
      <c r="J123">
        <v>250000</v>
      </c>
      <c r="K123">
        <v>0</v>
      </c>
      <c r="L123" t="s">
        <v>24</v>
      </c>
      <c r="M123">
        <f ca="1">IF(ISBLANK(Table1[[#This Row],[Exit]]),DATEDIF(Table1[[#This Row],[Hire]],TODAY(),"Y"),DATEDIF(Table1[[#This Row],[Hire]],Table1[[#This Row],[Exit]],"Y"))</f>
        <v>3</v>
      </c>
      <c r="N123" t="str" cm="1">
        <f t="array" ref="N123">_xlfn.IFS(
AND(D123&gt;=26,D123&lt;=30),"26–30",
AND(D123&gt;=31,D123&lt;=35),"31–35",
AND(D123&gt;=36,D123&lt;=40),"36–40",
AND(D123&gt;=41,D123&lt;=45),"41–45",
AND(D123&gt;=46,D123&lt;=50),"46–50",
AND(D123&gt;=51,D123&lt;=60),"51–60")</f>
        <v>36–40</v>
      </c>
    </row>
    <row r="124" spans="1:14" x14ac:dyDescent="0.35">
      <c r="A124" t="s">
        <v>276</v>
      </c>
      <c r="B124" t="s">
        <v>277</v>
      </c>
      <c r="C124" t="s">
        <v>14</v>
      </c>
      <c r="D124">
        <v>40</v>
      </c>
      <c r="E124" t="s">
        <v>81</v>
      </c>
      <c r="F124" t="s">
        <v>49</v>
      </c>
      <c r="G124" t="s">
        <v>34</v>
      </c>
      <c r="H124" s="1">
        <v>44857</v>
      </c>
      <c r="J124">
        <v>252000</v>
      </c>
      <c r="K124">
        <v>0</v>
      </c>
      <c r="L124" t="s">
        <v>24</v>
      </c>
      <c r="M124">
        <f ca="1">IF(ISBLANK(Table1[[#This Row],[Exit]]),DATEDIF(Table1[[#This Row],[Hire]],TODAY(),"Y"),DATEDIF(Table1[[#This Row],[Hire]],Table1[[#This Row],[Exit]],"Y"))</f>
        <v>3</v>
      </c>
      <c r="N124" t="str" cm="1">
        <f t="array" ref="N124">_xlfn.IFS(
AND(D124&gt;=26,D124&lt;=30),"26–30",
AND(D124&gt;=31,D124&lt;=35),"31–35",
AND(D124&gt;=36,D124&lt;=40),"36–40",
AND(D124&gt;=41,D124&lt;=45),"41–45",
AND(D124&gt;=46,D124&lt;=50),"46–50",
AND(D124&gt;=51,D124&lt;=60),"51–60")</f>
        <v>36–40</v>
      </c>
    </row>
    <row r="125" spans="1:14" x14ac:dyDescent="0.35">
      <c r="A125" t="s">
        <v>278</v>
      </c>
      <c r="B125" t="s">
        <v>279</v>
      </c>
      <c r="C125" t="s">
        <v>21</v>
      </c>
      <c r="D125">
        <v>45</v>
      </c>
      <c r="E125" t="s">
        <v>92</v>
      </c>
      <c r="F125" t="s">
        <v>59</v>
      </c>
      <c r="G125" t="s">
        <v>53</v>
      </c>
      <c r="H125" s="1">
        <v>45527</v>
      </c>
      <c r="J125">
        <v>254000</v>
      </c>
      <c r="K125">
        <v>0</v>
      </c>
      <c r="L125" t="s">
        <v>24</v>
      </c>
      <c r="M125">
        <f ca="1">IF(ISBLANK(Table1[[#This Row],[Exit]]),DATEDIF(Table1[[#This Row],[Hire]],TODAY(),"Y"),DATEDIF(Table1[[#This Row],[Hire]],Table1[[#This Row],[Exit]],"Y"))</f>
        <v>1</v>
      </c>
      <c r="N125" t="str" cm="1">
        <f t="array" ref="N125">_xlfn.IFS(
AND(D125&gt;=26,D125&lt;=30),"26–30",
AND(D125&gt;=31,D125&lt;=35),"31–35",
AND(D125&gt;=36,D125&lt;=40),"36–40",
AND(D125&gt;=41,D125&lt;=45),"41–45",
AND(D125&gt;=46,D125&lt;=50),"46–50",
AND(D125&gt;=51,D125&lt;=60),"51–60")</f>
        <v>41–45</v>
      </c>
    </row>
    <row r="126" spans="1:14" x14ac:dyDescent="0.35">
      <c r="A126" t="s">
        <v>280</v>
      </c>
      <c r="B126" t="s">
        <v>281</v>
      </c>
      <c r="C126" t="s">
        <v>21</v>
      </c>
      <c r="D126">
        <v>26</v>
      </c>
      <c r="E126" t="s">
        <v>81</v>
      </c>
      <c r="F126" t="s">
        <v>46</v>
      </c>
      <c r="G126" t="s">
        <v>23</v>
      </c>
      <c r="H126" s="1">
        <v>45237</v>
      </c>
      <c r="J126">
        <v>256000</v>
      </c>
      <c r="K126">
        <v>0</v>
      </c>
      <c r="L126" t="s">
        <v>24</v>
      </c>
      <c r="M126">
        <f ca="1">IF(ISBLANK(Table1[[#This Row],[Exit]]),DATEDIF(Table1[[#This Row],[Hire]],TODAY(),"Y"),DATEDIF(Table1[[#This Row],[Hire]],Table1[[#This Row],[Exit]],"Y"))</f>
        <v>2</v>
      </c>
      <c r="N126" t="str" cm="1">
        <f t="array" ref="N126">_xlfn.IFS(
AND(D126&gt;=26,D126&lt;=30),"26–30",
AND(D126&gt;=31,D126&lt;=35),"31–35",
AND(D126&gt;=36,D126&lt;=40),"36–40",
AND(D126&gt;=41,D126&lt;=45),"41–45",
AND(D126&gt;=46,D126&lt;=50),"46–50",
AND(D126&gt;=51,D126&lt;=60),"51–60")</f>
        <v>26–30</v>
      </c>
    </row>
    <row r="127" spans="1:14" x14ac:dyDescent="0.35">
      <c r="A127" t="s">
        <v>282</v>
      </c>
      <c r="B127" t="s">
        <v>283</v>
      </c>
      <c r="C127" t="s">
        <v>14</v>
      </c>
      <c r="D127">
        <v>35</v>
      </c>
      <c r="E127" t="s">
        <v>22</v>
      </c>
      <c r="F127" t="s">
        <v>16</v>
      </c>
      <c r="G127" t="s">
        <v>34</v>
      </c>
      <c r="H127" s="1">
        <v>45206</v>
      </c>
      <c r="J127">
        <v>258000</v>
      </c>
      <c r="K127">
        <v>0</v>
      </c>
      <c r="L127" t="s">
        <v>24</v>
      </c>
      <c r="M127">
        <f ca="1">IF(ISBLANK(Table1[[#This Row],[Exit]]),DATEDIF(Table1[[#This Row],[Hire]],TODAY(),"Y"),DATEDIF(Table1[[#This Row],[Hire]],Table1[[#This Row],[Exit]],"Y"))</f>
        <v>2</v>
      </c>
      <c r="N127" t="str" cm="1">
        <f t="array" ref="N127">_xlfn.IFS(
AND(D127&gt;=26,D127&lt;=30),"26–30",
AND(D127&gt;=31,D127&lt;=35),"31–35",
AND(D127&gt;=36,D127&lt;=40),"36–40",
AND(D127&gt;=41,D127&lt;=45),"41–45",
AND(D127&gt;=46,D127&lt;=50),"46–50",
AND(D127&gt;=51,D127&lt;=60),"51–60")</f>
        <v>31–35</v>
      </c>
    </row>
    <row r="128" spans="1:14" x14ac:dyDescent="0.35">
      <c r="A128" t="s">
        <v>284</v>
      </c>
      <c r="B128" t="s">
        <v>285</v>
      </c>
      <c r="C128" t="s">
        <v>21</v>
      </c>
      <c r="D128">
        <v>29</v>
      </c>
      <c r="E128" t="s">
        <v>92</v>
      </c>
      <c r="F128" t="s">
        <v>59</v>
      </c>
      <c r="G128" t="s">
        <v>34</v>
      </c>
      <c r="H128" s="1">
        <v>44677</v>
      </c>
      <c r="J128">
        <v>260000</v>
      </c>
      <c r="K128">
        <v>0</v>
      </c>
      <c r="L128" t="s">
        <v>24</v>
      </c>
      <c r="M128">
        <f ca="1">IF(ISBLANK(Table1[[#This Row],[Exit]]),DATEDIF(Table1[[#This Row],[Hire]],TODAY(),"Y"),DATEDIF(Table1[[#This Row],[Hire]],Table1[[#This Row],[Exit]],"Y"))</f>
        <v>3</v>
      </c>
      <c r="N128" t="str" cm="1">
        <f t="array" ref="N128">_xlfn.IFS(
AND(D128&gt;=26,D128&lt;=30),"26–30",
AND(D128&gt;=31,D128&lt;=35),"31–35",
AND(D128&gt;=36,D128&lt;=40),"36–40",
AND(D128&gt;=41,D128&lt;=45),"41–45",
AND(D128&gt;=46,D128&lt;=50),"46–50",
AND(D128&gt;=51,D128&lt;=60),"51–60")</f>
        <v>26–30</v>
      </c>
    </row>
    <row r="129" spans="1:14" x14ac:dyDescent="0.35">
      <c r="A129" t="s">
        <v>286</v>
      </c>
      <c r="B129" t="s">
        <v>287</v>
      </c>
      <c r="C129" t="s">
        <v>14</v>
      </c>
      <c r="D129">
        <v>35</v>
      </c>
      <c r="E129" t="s">
        <v>31</v>
      </c>
      <c r="F129" t="s">
        <v>16</v>
      </c>
      <c r="G129" t="s">
        <v>17</v>
      </c>
      <c r="H129" s="1">
        <v>43889</v>
      </c>
      <c r="J129">
        <v>262000</v>
      </c>
      <c r="K129">
        <v>0</v>
      </c>
      <c r="L129" t="s">
        <v>24</v>
      </c>
      <c r="M129">
        <f ca="1">IF(ISBLANK(Table1[[#This Row],[Exit]]),DATEDIF(Table1[[#This Row],[Hire]],TODAY(),"Y"),DATEDIF(Table1[[#This Row],[Hire]],Table1[[#This Row],[Exit]],"Y"))</f>
        <v>5</v>
      </c>
      <c r="N129" t="str" cm="1">
        <f t="array" ref="N129">_xlfn.IFS(
AND(D129&gt;=26,D129&lt;=30),"26–30",
AND(D129&gt;=31,D129&lt;=35),"31–35",
AND(D129&gt;=36,D129&lt;=40),"36–40",
AND(D129&gt;=41,D129&lt;=45),"41–45",
AND(D129&gt;=46,D129&lt;=50),"46–50",
AND(D129&gt;=51,D129&lt;=60),"51–60")</f>
        <v>31–35</v>
      </c>
    </row>
    <row r="130" spans="1:14" x14ac:dyDescent="0.35">
      <c r="A130" t="s">
        <v>288</v>
      </c>
      <c r="B130" t="s">
        <v>289</v>
      </c>
      <c r="C130" t="s">
        <v>14</v>
      </c>
      <c r="D130">
        <v>27</v>
      </c>
      <c r="E130" t="s">
        <v>15</v>
      </c>
      <c r="F130" t="s">
        <v>16</v>
      </c>
      <c r="G130" t="s">
        <v>17</v>
      </c>
      <c r="H130" s="1">
        <v>44116</v>
      </c>
      <c r="J130">
        <v>264000</v>
      </c>
      <c r="K130">
        <v>0</v>
      </c>
      <c r="L130" t="s">
        <v>24</v>
      </c>
      <c r="M130">
        <f ca="1">IF(ISBLANK(Table1[[#This Row],[Exit]]),DATEDIF(Table1[[#This Row],[Hire]],TODAY(),"Y"),DATEDIF(Table1[[#This Row],[Hire]],Table1[[#This Row],[Exit]],"Y"))</f>
        <v>5</v>
      </c>
      <c r="N130" t="str" cm="1">
        <f t="array" ref="N130">_xlfn.IFS(
AND(D130&gt;=26,D130&lt;=30),"26–30",
AND(D130&gt;=31,D130&lt;=35),"31–35",
AND(D130&gt;=36,D130&lt;=40),"36–40",
AND(D130&gt;=41,D130&lt;=45),"41–45",
AND(D130&gt;=46,D130&lt;=50),"46–50",
AND(D130&gt;=51,D130&lt;=60),"51–60")</f>
        <v>26–30</v>
      </c>
    </row>
    <row r="131" spans="1:14" x14ac:dyDescent="0.35">
      <c r="A131" t="s">
        <v>290</v>
      </c>
      <c r="B131" t="s">
        <v>291</v>
      </c>
      <c r="C131" t="s">
        <v>14</v>
      </c>
      <c r="D131">
        <v>26</v>
      </c>
      <c r="E131" t="s">
        <v>22</v>
      </c>
      <c r="F131" t="s">
        <v>16</v>
      </c>
      <c r="G131" t="s">
        <v>23</v>
      </c>
      <c r="H131" s="1">
        <v>44588</v>
      </c>
      <c r="J131">
        <v>266000</v>
      </c>
      <c r="K131">
        <v>0.1</v>
      </c>
      <c r="L131" t="s">
        <v>24</v>
      </c>
      <c r="M131">
        <f ca="1">IF(ISBLANK(Table1[[#This Row],[Exit]]),DATEDIF(Table1[[#This Row],[Hire]],TODAY(),"Y"),DATEDIF(Table1[[#This Row],[Hire]],Table1[[#This Row],[Exit]],"Y"))</f>
        <v>4</v>
      </c>
      <c r="N131" t="str" cm="1">
        <f t="array" ref="N131">_xlfn.IFS(
AND(D131&gt;=26,D131&lt;=30),"26–30",
AND(D131&gt;=31,D131&lt;=35),"31–35",
AND(D131&gt;=36,D131&lt;=40),"36–40",
AND(D131&gt;=41,D131&lt;=45),"41–45",
AND(D131&gt;=46,D131&lt;=50),"46–50",
AND(D131&gt;=51,D131&lt;=60),"51–60")</f>
        <v>26–30</v>
      </c>
    </row>
    <row r="132" spans="1:14" x14ac:dyDescent="0.35">
      <c r="A132" t="s">
        <v>292</v>
      </c>
      <c r="B132" t="s">
        <v>293</v>
      </c>
      <c r="C132" t="s">
        <v>14</v>
      </c>
      <c r="D132">
        <v>27</v>
      </c>
      <c r="E132" t="s">
        <v>27</v>
      </c>
      <c r="F132" t="s">
        <v>28</v>
      </c>
      <c r="G132" t="s">
        <v>17</v>
      </c>
      <c r="H132" s="1">
        <v>45337</v>
      </c>
      <c r="J132">
        <v>268000</v>
      </c>
      <c r="K132">
        <v>0.33</v>
      </c>
      <c r="L132" t="s">
        <v>24</v>
      </c>
      <c r="M132">
        <f ca="1">IF(ISBLANK(Table1[[#This Row],[Exit]]),DATEDIF(Table1[[#This Row],[Hire]],TODAY(),"Y"),DATEDIF(Table1[[#This Row],[Hire]],Table1[[#This Row],[Exit]],"Y"))</f>
        <v>1</v>
      </c>
      <c r="N132" t="str" cm="1">
        <f t="array" ref="N132">_xlfn.IFS(
AND(D132&gt;=26,D132&lt;=30),"26–30",
AND(D132&gt;=31,D132&lt;=35),"31–35",
AND(D132&gt;=36,D132&lt;=40),"36–40",
AND(D132&gt;=41,D132&lt;=45),"41–45",
AND(D132&gt;=46,D132&lt;=50),"46–50",
AND(D132&gt;=51,D132&lt;=60),"51–60")</f>
        <v>26–30</v>
      </c>
    </row>
    <row r="133" spans="1:14" x14ac:dyDescent="0.35">
      <c r="A133" t="s">
        <v>141</v>
      </c>
      <c r="B133" t="s">
        <v>294</v>
      </c>
      <c r="C133" t="s">
        <v>21</v>
      </c>
      <c r="D133">
        <v>30</v>
      </c>
      <c r="E133" t="s">
        <v>31</v>
      </c>
      <c r="F133" t="s">
        <v>16</v>
      </c>
      <c r="G133" t="s">
        <v>23</v>
      </c>
      <c r="H133" s="1">
        <v>45332</v>
      </c>
      <c r="J133">
        <v>270000</v>
      </c>
      <c r="K133">
        <v>0.05</v>
      </c>
      <c r="L133" t="s">
        <v>24</v>
      </c>
      <c r="M133">
        <f ca="1">IF(ISBLANK(Table1[[#This Row],[Exit]]),DATEDIF(Table1[[#This Row],[Hire]],TODAY(),"Y"),DATEDIF(Table1[[#This Row],[Hire]],Table1[[#This Row],[Exit]],"Y"))</f>
        <v>1</v>
      </c>
      <c r="N133" t="str" cm="1">
        <f t="array" ref="N133">_xlfn.IFS(
AND(D133&gt;=26,D133&lt;=30),"26–30",
AND(D133&gt;=31,D133&lt;=35),"31–35",
AND(D133&gt;=36,D133&lt;=40),"36–40",
AND(D133&gt;=41,D133&lt;=45),"41–45",
AND(D133&gt;=46,D133&lt;=50),"46–50",
AND(D133&gt;=51,D133&lt;=60),"51–60")</f>
        <v>26–30</v>
      </c>
    </row>
    <row r="134" spans="1:14" x14ac:dyDescent="0.35">
      <c r="A134" t="s">
        <v>159</v>
      </c>
      <c r="B134" t="s">
        <v>295</v>
      </c>
      <c r="C134" t="s">
        <v>14</v>
      </c>
      <c r="D134">
        <v>36</v>
      </c>
      <c r="E134" t="s">
        <v>27</v>
      </c>
      <c r="F134" t="s">
        <v>28</v>
      </c>
      <c r="G134" t="s">
        <v>34</v>
      </c>
      <c r="H134" s="1">
        <v>44183</v>
      </c>
      <c r="I134" s="1">
        <v>45273</v>
      </c>
      <c r="J134">
        <v>272000</v>
      </c>
      <c r="K134">
        <v>0</v>
      </c>
      <c r="L134" t="s">
        <v>18</v>
      </c>
      <c r="M134">
        <f ca="1">IF(ISBLANK(Table1[[#This Row],[Exit]]),DATEDIF(Table1[[#This Row],[Hire]],TODAY(),"Y"),DATEDIF(Table1[[#This Row],[Hire]],Table1[[#This Row],[Exit]],"Y"))</f>
        <v>2</v>
      </c>
      <c r="N134" t="str" cm="1">
        <f t="array" ref="N134">_xlfn.IFS(
AND(D134&gt;=26,D134&lt;=30),"26–30",
AND(D134&gt;=31,D134&lt;=35),"31–35",
AND(D134&gt;=36,D134&lt;=40),"36–40",
AND(D134&gt;=41,D134&lt;=45),"41–45",
AND(D134&gt;=46,D134&lt;=50),"46–50",
AND(D134&gt;=51,D134&lt;=60),"51–60")</f>
        <v>36–40</v>
      </c>
    </row>
    <row r="135" spans="1:14" x14ac:dyDescent="0.35">
      <c r="A135" t="s">
        <v>296</v>
      </c>
      <c r="B135" t="s">
        <v>297</v>
      </c>
      <c r="C135" t="s">
        <v>21</v>
      </c>
      <c r="D135">
        <v>45</v>
      </c>
      <c r="E135" t="s">
        <v>15</v>
      </c>
      <c r="F135" t="s">
        <v>16</v>
      </c>
      <c r="G135" t="s">
        <v>23</v>
      </c>
      <c r="H135" s="1">
        <v>43837</v>
      </c>
      <c r="J135">
        <v>274000</v>
      </c>
      <c r="K135">
        <v>0.15</v>
      </c>
      <c r="L135" t="s">
        <v>24</v>
      </c>
      <c r="M135">
        <f ca="1">IF(ISBLANK(Table1[[#This Row],[Exit]]),DATEDIF(Table1[[#This Row],[Hire]],TODAY(),"Y"),DATEDIF(Table1[[#This Row],[Hire]],Table1[[#This Row],[Exit]],"Y"))</f>
        <v>6</v>
      </c>
      <c r="N135" t="str" cm="1">
        <f t="array" ref="N135">_xlfn.IFS(
AND(D135&gt;=26,D135&lt;=30),"26–30",
AND(D135&gt;=31,D135&lt;=35),"31–35",
AND(D135&gt;=36,D135&lt;=40),"36–40",
AND(D135&gt;=41,D135&lt;=45),"41–45",
AND(D135&gt;=46,D135&lt;=50),"46–50",
AND(D135&gt;=51,D135&lt;=60),"51–60")</f>
        <v>41–45</v>
      </c>
    </row>
    <row r="136" spans="1:14" x14ac:dyDescent="0.35">
      <c r="A136" t="s">
        <v>298</v>
      </c>
      <c r="B136" t="s">
        <v>299</v>
      </c>
      <c r="C136" t="s">
        <v>14</v>
      </c>
      <c r="D136">
        <v>37</v>
      </c>
      <c r="E136" t="s">
        <v>15</v>
      </c>
      <c r="F136" t="s">
        <v>16</v>
      </c>
      <c r="G136" t="s">
        <v>34</v>
      </c>
      <c r="H136" s="1">
        <v>45206</v>
      </c>
      <c r="J136">
        <v>276000</v>
      </c>
      <c r="K136">
        <v>0</v>
      </c>
      <c r="L136" t="s">
        <v>24</v>
      </c>
      <c r="M136">
        <f ca="1">IF(ISBLANK(Table1[[#This Row],[Exit]]),DATEDIF(Table1[[#This Row],[Hire]],TODAY(),"Y"),DATEDIF(Table1[[#This Row],[Hire]],Table1[[#This Row],[Exit]],"Y"))</f>
        <v>2</v>
      </c>
      <c r="N136" t="str" cm="1">
        <f t="array" ref="N136">_xlfn.IFS(
AND(D136&gt;=26,D136&lt;=30),"26–30",
AND(D136&gt;=31,D136&lt;=35),"31–35",
AND(D136&gt;=36,D136&lt;=40),"36–40",
AND(D136&gt;=41,D136&lt;=45),"41–45",
AND(D136&gt;=46,D136&lt;=50),"46–50",
AND(D136&gt;=51,D136&lt;=60),"51–60")</f>
        <v>36–40</v>
      </c>
    </row>
    <row r="137" spans="1:14" x14ac:dyDescent="0.35">
      <c r="A137" t="s">
        <v>300</v>
      </c>
      <c r="B137" t="s">
        <v>301</v>
      </c>
      <c r="C137" t="s">
        <v>14</v>
      </c>
      <c r="D137">
        <v>38</v>
      </c>
      <c r="E137" t="s">
        <v>42</v>
      </c>
      <c r="F137" t="s">
        <v>43</v>
      </c>
      <c r="G137" t="s">
        <v>34</v>
      </c>
      <c r="H137" s="1">
        <v>44487</v>
      </c>
      <c r="J137">
        <v>278000</v>
      </c>
      <c r="K137">
        <v>0</v>
      </c>
      <c r="L137" t="s">
        <v>24</v>
      </c>
      <c r="M137">
        <f ca="1">IF(ISBLANK(Table1[[#This Row],[Exit]]),DATEDIF(Table1[[#This Row],[Hire]],TODAY(),"Y"),DATEDIF(Table1[[#This Row],[Hire]],Table1[[#This Row],[Exit]],"Y"))</f>
        <v>4</v>
      </c>
      <c r="N137" t="str" cm="1">
        <f t="array" ref="N137">_xlfn.IFS(
AND(D137&gt;=26,D137&lt;=30),"26–30",
AND(D137&gt;=31,D137&lt;=35),"31–35",
AND(D137&gt;=36,D137&lt;=40),"36–40",
AND(D137&gt;=41,D137&lt;=45),"41–45",
AND(D137&gt;=46,D137&lt;=50),"46–50",
AND(D137&gt;=51,D137&lt;=60),"51–60")</f>
        <v>36–40</v>
      </c>
    </row>
    <row r="138" spans="1:14" x14ac:dyDescent="0.35">
      <c r="A138" t="s">
        <v>302</v>
      </c>
      <c r="B138" t="s">
        <v>303</v>
      </c>
      <c r="C138" t="s">
        <v>21</v>
      </c>
      <c r="D138">
        <v>45</v>
      </c>
      <c r="E138" t="s">
        <v>42</v>
      </c>
      <c r="F138" t="s">
        <v>46</v>
      </c>
      <c r="G138" t="s">
        <v>23</v>
      </c>
      <c r="H138" s="1">
        <v>44791</v>
      </c>
      <c r="J138">
        <v>280000</v>
      </c>
      <c r="K138">
        <v>0</v>
      </c>
      <c r="L138" t="s">
        <v>24</v>
      </c>
      <c r="M138">
        <f ca="1">IF(ISBLANK(Table1[[#This Row],[Exit]]),DATEDIF(Table1[[#This Row],[Hire]],TODAY(),"Y"),DATEDIF(Table1[[#This Row],[Hire]],Table1[[#This Row],[Exit]],"Y"))</f>
        <v>3</v>
      </c>
      <c r="N138" t="str" cm="1">
        <f t="array" ref="N138">_xlfn.IFS(
AND(D138&gt;=26,D138&lt;=30),"26–30",
AND(D138&gt;=31,D138&lt;=35),"31–35",
AND(D138&gt;=36,D138&lt;=40),"36–40",
AND(D138&gt;=41,D138&lt;=45),"41–45",
AND(D138&gt;=46,D138&lt;=50),"46–50",
AND(D138&gt;=51,D138&lt;=60),"51–60")</f>
        <v>41–45</v>
      </c>
    </row>
    <row r="139" spans="1:14" x14ac:dyDescent="0.35">
      <c r="A139" t="s">
        <v>304</v>
      </c>
      <c r="B139" t="s">
        <v>305</v>
      </c>
      <c r="C139" t="s">
        <v>41</v>
      </c>
      <c r="D139">
        <v>51</v>
      </c>
      <c r="E139" t="s">
        <v>42</v>
      </c>
      <c r="F139" t="s">
        <v>49</v>
      </c>
      <c r="G139" t="s">
        <v>17</v>
      </c>
      <c r="H139" s="1">
        <v>45440</v>
      </c>
      <c r="J139">
        <v>282000</v>
      </c>
      <c r="K139">
        <v>0.31</v>
      </c>
      <c r="L139" t="s">
        <v>24</v>
      </c>
      <c r="M139">
        <f ca="1">IF(ISBLANK(Table1[[#This Row],[Exit]]),DATEDIF(Table1[[#This Row],[Hire]],TODAY(),"Y"),DATEDIF(Table1[[#This Row],[Hire]],Table1[[#This Row],[Exit]],"Y"))</f>
        <v>1</v>
      </c>
      <c r="N139" t="str" cm="1">
        <f t="array" ref="N139">_xlfn.IFS(
AND(D139&gt;=26,D139&lt;=30),"26–30",
AND(D139&gt;=31,D139&lt;=35),"31–35",
AND(D139&gt;=36,D139&lt;=40),"36–40",
AND(D139&gt;=41,D139&lt;=45),"41–45",
AND(D139&gt;=46,D139&lt;=50),"46–50",
AND(D139&gt;=51,D139&lt;=60),"51–60")</f>
        <v>51–60</v>
      </c>
    </row>
    <row r="140" spans="1:14" x14ac:dyDescent="0.35">
      <c r="A140" t="s">
        <v>306</v>
      </c>
      <c r="B140" t="s">
        <v>307</v>
      </c>
      <c r="C140" t="s">
        <v>14</v>
      </c>
      <c r="D140">
        <v>56</v>
      </c>
      <c r="E140" t="s">
        <v>52</v>
      </c>
      <c r="F140" t="s">
        <v>16</v>
      </c>
      <c r="G140" t="s">
        <v>53</v>
      </c>
      <c r="H140" s="1">
        <v>44811</v>
      </c>
      <c r="J140">
        <v>284000</v>
      </c>
      <c r="K140">
        <v>0.28999999999999998</v>
      </c>
      <c r="L140" t="s">
        <v>24</v>
      </c>
      <c r="M140">
        <f ca="1">IF(ISBLANK(Table1[[#This Row],[Exit]]),DATEDIF(Table1[[#This Row],[Hire]],TODAY(),"Y"),DATEDIF(Table1[[#This Row],[Hire]],Table1[[#This Row],[Exit]],"Y"))</f>
        <v>3</v>
      </c>
      <c r="N140" t="str" cm="1">
        <f t="array" ref="N140">_xlfn.IFS(
AND(D140&gt;=26,D140&lt;=30),"26–30",
AND(D140&gt;=31,D140&lt;=35),"31–35",
AND(D140&gt;=36,D140&lt;=40),"36–40",
AND(D140&gt;=41,D140&lt;=45),"41–45",
AND(D140&gt;=46,D140&lt;=50),"46–50",
AND(D140&gt;=51,D140&lt;=60),"51–60")</f>
        <v>51–60</v>
      </c>
    </row>
    <row r="141" spans="1:14" x14ac:dyDescent="0.35">
      <c r="A141" t="s">
        <v>308</v>
      </c>
      <c r="B141" t="s">
        <v>309</v>
      </c>
      <c r="C141" t="s">
        <v>41</v>
      </c>
      <c r="D141">
        <v>53</v>
      </c>
      <c r="E141" t="s">
        <v>42</v>
      </c>
      <c r="F141" t="s">
        <v>46</v>
      </c>
      <c r="G141" t="s">
        <v>53</v>
      </c>
      <c r="H141" s="1">
        <v>45294</v>
      </c>
      <c r="J141">
        <v>286000</v>
      </c>
      <c r="K141">
        <v>0.15</v>
      </c>
      <c r="L141" t="s">
        <v>24</v>
      </c>
      <c r="M141">
        <f ca="1">IF(ISBLANK(Table1[[#This Row],[Exit]]),DATEDIF(Table1[[#This Row],[Hire]],TODAY(),"Y"),DATEDIF(Table1[[#This Row],[Hire]],Table1[[#This Row],[Exit]],"Y"))</f>
        <v>2</v>
      </c>
      <c r="N141" t="str" cm="1">
        <f t="array" ref="N141">_xlfn.IFS(
AND(D141&gt;=26,D141&lt;=30),"26–30",
AND(D141&gt;=31,D141&lt;=35),"31–35",
AND(D141&gt;=36,D141&lt;=40),"36–40",
AND(D141&gt;=41,D141&lt;=45),"41–45",
AND(D141&gt;=46,D141&lt;=50),"46–50",
AND(D141&gt;=51,D141&lt;=60),"51–60")</f>
        <v>51–60</v>
      </c>
    </row>
    <row r="142" spans="1:14" x14ac:dyDescent="0.35">
      <c r="A142" t="s">
        <v>32</v>
      </c>
      <c r="B142" t="s">
        <v>310</v>
      </c>
      <c r="C142" t="s">
        <v>14</v>
      </c>
      <c r="D142">
        <v>47</v>
      </c>
      <c r="E142" t="s">
        <v>58</v>
      </c>
      <c r="F142" t="s">
        <v>59</v>
      </c>
      <c r="G142" t="s">
        <v>34</v>
      </c>
      <c r="H142" s="1">
        <v>45074</v>
      </c>
      <c r="J142">
        <v>288000</v>
      </c>
      <c r="K142">
        <v>0</v>
      </c>
      <c r="L142" t="s">
        <v>24</v>
      </c>
      <c r="M142">
        <f ca="1">IF(ISBLANK(Table1[[#This Row],[Exit]]),DATEDIF(Table1[[#This Row],[Hire]],TODAY(),"Y"),DATEDIF(Table1[[#This Row],[Hire]],Table1[[#This Row],[Exit]],"Y"))</f>
        <v>2</v>
      </c>
      <c r="N142" t="str" cm="1">
        <f t="array" ref="N142">_xlfn.IFS(
AND(D142&gt;=26,D142&lt;=30),"26–30",
AND(D142&gt;=31,D142&lt;=35),"31–35",
AND(D142&gt;=36,D142&lt;=40),"36–40",
AND(D142&gt;=41,D142&lt;=45),"41–45",
AND(D142&gt;=46,D142&lt;=50),"46–50",
AND(D142&gt;=51,D142&lt;=60),"51–60")</f>
        <v>46–50</v>
      </c>
    </row>
    <row r="143" spans="1:14" x14ac:dyDescent="0.35">
      <c r="A143" t="s">
        <v>311</v>
      </c>
      <c r="B143" t="s">
        <v>312</v>
      </c>
      <c r="C143" t="s">
        <v>14</v>
      </c>
      <c r="D143">
        <v>36</v>
      </c>
      <c r="E143" t="s">
        <v>52</v>
      </c>
      <c r="F143" t="s">
        <v>16</v>
      </c>
      <c r="G143" t="s">
        <v>23</v>
      </c>
      <c r="H143" s="1">
        <v>45245</v>
      </c>
      <c r="J143">
        <v>290000</v>
      </c>
      <c r="K143">
        <v>0.4</v>
      </c>
      <c r="L143" t="s">
        <v>24</v>
      </c>
      <c r="M143">
        <f ca="1">IF(ISBLANK(Table1[[#This Row],[Exit]]),DATEDIF(Table1[[#This Row],[Hire]],TODAY(),"Y"),DATEDIF(Table1[[#This Row],[Hire]],Table1[[#This Row],[Exit]],"Y"))</f>
        <v>2</v>
      </c>
      <c r="N143" t="str" cm="1">
        <f t="array" ref="N143">_xlfn.IFS(
AND(D143&gt;=26,D143&lt;=30),"26–30",
AND(D143&gt;=31,D143&lt;=35),"31–35",
AND(D143&gt;=36,D143&lt;=40),"36–40",
AND(D143&gt;=41,D143&lt;=45),"41–45",
AND(D143&gt;=46,D143&lt;=50),"46–50",
AND(D143&gt;=51,D143&lt;=60),"51–60")</f>
        <v>36–40</v>
      </c>
    </row>
    <row r="144" spans="1:14" x14ac:dyDescent="0.35">
      <c r="A144" t="s">
        <v>313</v>
      </c>
      <c r="B144" t="s">
        <v>314</v>
      </c>
      <c r="C144" t="s">
        <v>21</v>
      </c>
      <c r="D144">
        <v>41</v>
      </c>
      <c r="E144" t="s">
        <v>52</v>
      </c>
      <c r="F144" t="s">
        <v>16</v>
      </c>
      <c r="G144" t="s">
        <v>34</v>
      </c>
      <c r="H144" s="1">
        <v>43851</v>
      </c>
      <c r="J144">
        <v>292000</v>
      </c>
      <c r="K144">
        <v>0.14000000000000001</v>
      </c>
      <c r="L144" t="s">
        <v>24</v>
      </c>
      <c r="M144">
        <f ca="1">IF(ISBLANK(Table1[[#This Row],[Exit]]),DATEDIF(Table1[[#This Row],[Hire]],TODAY(),"Y"),DATEDIF(Table1[[#This Row],[Hire]],Table1[[#This Row],[Exit]],"Y"))</f>
        <v>6</v>
      </c>
      <c r="N144" t="str" cm="1">
        <f t="array" ref="N144">_xlfn.IFS(
AND(D144&gt;=26,D144&lt;=30),"26–30",
AND(D144&gt;=31,D144&lt;=35),"31–35",
AND(D144&gt;=36,D144&lt;=40),"36–40",
AND(D144&gt;=41,D144&lt;=45),"41–45",
AND(D144&gt;=46,D144&lt;=50),"46–50",
AND(D144&gt;=51,D144&lt;=60),"51–60")</f>
        <v>41–45</v>
      </c>
    </row>
    <row r="145" spans="1:14" x14ac:dyDescent="0.35">
      <c r="A145" t="s">
        <v>315</v>
      </c>
      <c r="B145" t="s">
        <v>316</v>
      </c>
      <c r="C145" t="s">
        <v>21</v>
      </c>
      <c r="D145">
        <v>30</v>
      </c>
      <c r="E145" t="s">
        <v>66</v>
      </c>
      <c r="F145" t="s">
        <v>16</v>
      </c>
      <c r="G145" t="s">
        <v>17</v>
      </c>
      <c r="H145" s="1">
        <v>45206</v>
      </c>
      <c r="J145">
        <v>294000</v>
      </c>
      <c r="K145">
        <v>0</v>
      </c>
      <c r="L145" t="s">
        <v>24</v>
      </c>
      <c r="M145">
        <f ca="1">IF(ISBLANK(Table1[[#This Row],[Exit]]),DATEDIF(Table1[[#This Row],[Hire]],TODAY(),"Y"),DATEDIF(Table1[[#This Row],[Hire]],Table1[[#This Row],[Exit]],"Y"))</f>
        <v>2</v>
      </c>
      <c r="N145" t="str" cm="1">
        <f t="array" ref="N145">_xlfn.IFS(
AND(D145&gt;=26,D145&lt;=30),"26–30",
AND(D145&gt;=31,D145&lt;=35),"31–35",
AND(D145&gt;=36,D145&lt;=40),"36–40",
AND(D145&gt;=41,D145&lt;=45),"41–45",
AND(D145&gt;=46,D145&lt;=50),"46–50",
AND(D145&gt;=51,D145&lt;=60),"51–60")</f>
        <v>26–30</v>
      </c>
    </row>
    <row r="146" spans="1:14" x14ac:dyDescent="0.35">
      <c r="A146" t="s">
        <v>317</v>
      </c>
      <c r="B146" t="s">
        <v>318</v>
      </c>
      <c r="C146" t="s">
        <v>21</v>
      </c>
      <c r="D146">
        <v>30</v>
      </c>
      <c r="E146" t="s">
        <v>58</v>
      </c>
      <c r="F146" t="s">
        <v>59</v>
      </c>
      <c r="G146" t="s">
        <v>23</v>
      </c>
      <c r="H146" s="1">
        <v>45401</v>
      </c>
      <c r="J146">
        <v>296000</v>
      </c>
      <c r="K146">
        <v>0</v>
      </c>
      <c r="L146" t="s">
        <v>24</v>
      </c>
      <c r="M146">
        <f ca="1">IF(ISBLANK(Table1[[#This Row],[Exit]]),DATEDIF(Table1[[#This Row],[Hire]],TODAY(),"Y"),DATEDIF(Table1[[#This Row],[Hire]],Table1[[#This Row],[Exit]],"Y"))</f>
        <v>1</v>
      </c>
      <c r="N146" t="str" cm="1">
        <f t="array" ref="N146">_xlfn.IFS(
AND(D146&gt;=26,D146&lt;=30),"26–30",
AND(D146&gt;=31,D146&lt;=35),"31–35",
AND(D146&gt;=36,D146&lt;=40),"36–40",
AND(D146&gt;=41,D146&lt;=45),"41–45",
AND(D146&gt;=46,D146&lt;=50),"46–50",
AND(D146&gt;=51,D146&lt;=60),"51–60")</f>
        <v>26–30</v>
      </c>
    </row>
    <row r="147" spans="1:14" x14ac:dyDescent="0.35">
      <c r="A147" t="s">
        <v>319</v>
      </c>
      <c r="B147" t="s">
        <v>320</v>
      </c>
      <c r="C147" t="s">
        <v>14</v>
      </c>
      <c r="D147">
        <v>38</v>
      </c>
      <c r="E147" t="s">
        <v>66</v>
      </c>
      <c r="F147" t="s">
        <v>16</v>
      </c>
      <c r="G147" t="s">
        <v>34</v>
      </c>
      <c r="H147" s="1">
        <v>44083</v>
      </c>
      <c r="J147">
        <v>298000</v>
      </c>
      <c r="K147">
        <v>0.39</v>
      </c>
      <c r="L147" t="s">
        <v>24</v>
      </c>
      <c r="M147">
        <f ca="1">IF(ISBLANK(Table1[[#This Row],[Exit]]),DATEDIF(Table1[[#This Row],[Hire]],TODAY(),"Y"),DATEDIF(Table1[[#This Row],[Hire]],Table1[[#This Row],[Exit]],"Y"))</f>
        <v>5</v>
      </c>
      <c r="N147" t="str" cm="1">
        <f t="array" ref="N147">_xlfn.IFS(
AND(D147&gt;=26,D147&lt;=30),"26–30",
AND(D147&gt;=31,D147&lt;=35),"31–35",
AND(D147&gt;=36,D147&lt;=40),"36–40",
AND(D147&gt;=41,D147&lt;=45),"41–45",
AND(D147&gt;=46,D147&lt;=50),"46–50",
AND(D147&gt;=51,D147&lt;=60),"51–60")</f>
        <v>36–40</v>
      </c>
    </row>
    <row r="148" spans="1:14" x14ac:dyDescent="0.35">
      <c r="A148" t="s">
        <v>321</v>
      </c>
      <c r="B148" t="s">
        <v>322</v>
      </c>
      <c r="C148" t="s">
        <v>21</v>
      </c>
      <c r="D148">
        <v>28</v>
      </c>
      <c r="E148" t="s">
        <v>66</v>
      </c>
      <c r="F148" t="s">
        <v>16</v>
      </c>
      <c r="G148" t="s">
        <v>53</v>
      </c>
      <c r="H148" s="1">
        <v>45233</v>
      </c>
      <c r="J148">
        <v>300000</v>
      </c>
      <c r="K148">
        <v>0.21</v>
      </c>
      <c r="L148" t="s">
        <v>24</v>
      </c>
      <c r="M148">
        <f ca="1">IF(ISBLANK(Table1[[#This Row],[Exit]]),DATEDIF(Table1[[#This Row],[Hire]],TODAY(),"Y"),DATEDIF(Table1[[#This Row],[Hire]],Table1[[#This Row],[Exit]],"Y"))</f>
        <v>2</v>
      </c>
      <c r="N148" t="str" cm="1">
        <f t="array" ref="N148">_xlfn.IFS(
AND(D148&gt;=26,D148&lt;=30),"26–30",
AND(D148&gt;=31,D148&lt;=35),"31–35",
AND(D148&gt;=36,D148&lt;=40),"36–40",
AND(D148&gt;=41,D148&lt;=45),"41–45",
AND(D148&gt;=46,D148&lt;=50),"46–50",
AND(D148&gt;=51,D148&lt;=60),"51–60")</f>
        <v>26–30</v>
      </c>
    </row>
    <row r="149" spans="1:14" x14ac:dyDescent="0.35">
      <c r="A149" t="s">
        <v>323</v>
      </c>
      <c r="B149" t="s">
        <v>324</v>
      </c>
      <c r="C149" t="s">
        <v>14</v>
      </c>
      <c r="D149">
        <v>39</v>
      </c>
      <c r="E149" t="s">
        <v>58</v>
      </c>
      <c r="F149" t="s">
        <v>59</v>
      </c>
      <c r="G149" t="s">
        <v>53</v>
      </c>
      <c r="H149" s="1">
        <v>45412</v>
      </c>
      <c r="J149">
        <v>302000</v>
      </c>
      <c r="K149">
        <v>0.1</v>
      </c>
      <c r="L149" t="s">
        <v>24</v>
      </c>
      <c r="M149">
        <f ca="1">IF(ISBLANK(Table1[[#This Row],[Exit]]),DATEDIF(Table1[[#This Row],[Hire]],TODAY(),"Y"),DATEDIF(Table1[[#This Row],[Hire]],Table1[[#This Row],[Exit]],"Y"))</f>
        <v>1</v>
      </c>
      <c r="N149" t="str" cm="1">
        <f t="array" ref="N149">_xlfn.IFS(
AND(D149&gt;=26,D149&lt;=30),"26–30",
AND(D149&gt;=31,D149&lt;=35),"31–35",
AND(D149&gt;=36,D149&lt;=40),"36–40",
AND(D149&gt;=41,D149&lt;=45),"41–45",
AND(D149&gt;=46,D149&lt;=50),"46–50",
AND(D149&gt;=51,D149&lt;=60),"51–60")</f>
        <v>36–40</v>
      </c>
    </row>
    <row r="150" spans="1:14" x14ac:dyDescent="0.35">
      <c r="A150" t="s">
        <v>325</v>
      </c>
      <c r="B150" t="s">
        <v>326</v>
      </c>
      <c r="C150" t="s">
        <v>41</v>
      </c>
      <c r="D150">
        <v>31</v>
      </c>
      <c r="E150" t="s">
        <v>15</v>
      </c>
      <c r="F150" t="s">
        <v>16</v>
      </c>
      <c r="G150" t="s">
        <v>53</v>
      </c>
      <c r="H150" s="1">
        <v>43887</v>
      </c>
      <c r="J150">
        <v>304000</v>
      </c>
      <c r="K150">
        <v>0.05</v>
      </c>
      <c r="L150" t="s">
        <v>24</v>
      </c>
      <c r="M150">
        <f ca="1">IF(ISBLANK(Table1[[#This Row],[Exit]]),DATEDIF(Table1[[#This Row],[Hire]],TODAY(),"Y"),DATEDIF(Table1[[#This Row],[Hire]],Table1[[#This Row],[Exit]],"Y"))</f>
        <v>5</v>
      </c>
      <c r="N150" t="str" cm="1">
        <f t="array" ref="N150">_xlfn.IFS(
AND(D150&gt;=26,D150&lt;=30),"26–30",
AND(D150&gt;=31,D150&lt;=35),"31–35",
AND(D150&gt;=36,D150&lt;=40),"36–40",
AND(D150&gt;=41,D150&lt;=45),"41–45",
AND(D150&gt;=46,D150&lt;=50),"46–50",
AND(D150&gt;=51,D150&lt;=60),"51–60")</f>
        <v>31–35</v>
      </c>
    </row>
    <row r="151" spans="1:14" x14ac:dyDescent="0.35">
      <c r="A151" t="s">
        <v>327</v>
      </c>
      <c r="B151" t="s">
        <v>328</v>
      </c>
      <c r="C151" t="s">
        <v>14</v>
      </c>
      <c r="D151">
        <v>45</v>
      </c>
      <c r="E151" t="s">
        <v>22</v>
      </c>
      <c r="F151" t="s">
        <v>16</v>
      </c>
      <c r="G151" t="s">
        <v>53</v>
      </c>
      <c r="H151" s="1">
        <v>44815</v>
      </c>
      <c r="J151">
        <v>306000</v>
      </c>
      <c r="K151">
        <v>0.1</v>
      </c>
      <c r="L151" t="s">
        <v>24</v>
      </c>
      <c r="M151">
        <f ca="1">IF(ISBLANK(Table1[[#This Row],[Exit]]),DATEDIF(Table1[[#This Row],[Hire]],TODAY(),"Y"),DATEDIF(Table1[[#This Row],[Hire]],Table1[[#This Row],[Exit]],"Y"))</f>
        <v>3</v>
      </c>
      <c r="N151" t="str" cm="1">
        <f t="array" ref="N151">_xlfn.IFS(
AND(D151&gt;=26,D151&lt;=30),"26–30",
AND(D151&gt;=31,D151&lt;=35),"31–35",
AND(D151&gt;=36,D151&lt;=40),"36–40",
AND(D151&gt;=41,D151&lt;=45),"41–45",
AND(D151&gt;=46,D151&lt;=50),"46–50",
AND(D151&gt;=51,D151&lt;=60),"51–60")</f>
        <v>41–45</v>
      </c>
    </row>
    <row r="152" spans="1:14" x14ac:dyDescent="0.35">
      <c r="A152" t="s">
        <v>329</v>
      </c>
      <c r="B152" t="s">
        <v>330</v>
      </c>
      <c r="C152" t="s">
        <v>21</v>
      </c>
      <c r="D152">
        <v>50</v>
      </c>
      <c r="E152" t="s">
        <v>81</v>
      </c>
      <c r="F152" t="s">
        <v>43</v>
      </c>
      <c r="G152" t="s">
        <v>53</v>
      </c>
      <c r="H152" s="1">
        <v>45430</v>
      </c>
      <c r="J152">
        <v>308000</v>
      </c>
      <c r="K152">
        <v>0.31</v>
      </c>
      <c r="L152" t="s">
        <v>24</v>
      </c>
      <c r="M152">
        <f ca="1">IF(ISBLANK(Table1[[#This Row],[Exit]]),DATEDIF(Table1[[#This Row],[Hire]],TODAY(),"Y"),DATEDIF(Table1[[#This Row],[Hire]],Table1[[#This Row],[Exit]],"Y"))</f>
        <v>1</v>
      </c>
      <c r="N152" t="str" cm="1">
        <f t="array" ref="N152">_xlfn.IFS(
AND(D152&gt;=26,D152&lt;=30),"26–30",
AND(D152&gt;=31,D152&lt;=35),"31–35",
AND(D152&gt;=36,D152&lt;=40),"36–40",
AND(D152&gt;=41,D152&lt;=45),"41–45",
AND(D152&gt;=46,D152&lt;=50),"46–50",
AND(D152&gt;=51,D152&lt;=60),"51–60")</f>
        <v>46–50</v>
      </c>
    </row>
    <row r="153" spans="1:14" x14ac:dyDescent="0.35">
      <c r="A153" t="s">
        <v>331</v>
      </c>
      <c r="B153" t="s">
        <v>332</v>
      </c>
      <c r="C153" t="s">
        <v>14</v>
      </c>
      <c r="D153">
        <v>36</v>
      </c>
      <c r="E153" t="s">
        <v>52</v>
      </c>
      <c r="F153" t="s">
        <v>16</v>
      </c>
      <c r="G153" t="s">
        <v>17</v>
      </c>
      <c r="H153" s="1">
        <v>44509</v>
      </c>
      <c r="J153">
        <v>310000</v>
      </c>
      <c r="K153">
        <v>0</v>
      </c>
      <c r="L153" t="s">
        <v>24</v>
      </c>
      <c r="M153">
        <f ca="1">IF(ISBLANK(Table1[[#This Row],[Exit]]),DATEDIF(Table1[[#This Row],[Hire]],TODAY(),"Y"),DATEDIF(Table1[[#This Row],[Hire]],Table1[[#This Row],[Exit]],"Y"))</f>
        <v>4</v>
      </c>
      <c r="N153" t="str" cm="1">
        <f t="array" ref="N153">_xlfn.IFS(
AND(D153&gt;=26,D153&lt;=30),"26–30",
AND(D153&gt;=31,D153&lt;=35),"31–35",
AND(D153&gt;=36,D153&lt;=40),"36–40",
AND(D153&gt;=41,D153&lt;=45),"41–45",
AND(D153&gt;=46,D153&lt;=50),"46–50",
AND(D153&gt;=51,D153&lt;=60),"51–60")</f>
        <v>36–40</v>
      </c>
    </row>
    <row r="154" spans="1:14" x14ac:dyDescent="0.35">
      <c r="A154" t="s">
        <v>333</v>
      </c>
      <c r="B154" t="s">
        <v>334</v>
      </c>
      <c r="C154" t="s">
        <v>14</v>
      </c>
      <c r="D154">
        <v>45</v>
      </c>
      <c r="E154" t="s">
        <v>66</v>
      </c>
      <c r="F154" t="s">
        <v>16</v>
      </c>
      <c r="G154" t="s">
        <v>23</v>
      </c>
      <c r="H154" s="1">
        <v>43963</v>
      </c>
      <c r="J154">
        <v>312000</v>
      </c>
      <c r="K154">
        <v>0.08</v>
      </c>
      <c r="L154" t="s">
        <v>24</v>
      </c>
      <c r="M154">
        <f ca="1">IF(ISBLANK(Table1[[#This Row],[Exit]]),DATEDIF(Table1[[#This Row],[Hire]],TODAY(),"Y"),DATEDIF(Table1[[#This Row],[Hire]],Table1[[#This Row],[Exit]],"Y"))</f>
        <v>5</v>
      </c>
      <c r="N154" t="str" cm="1">
        <f t="array" ref="N154">_xlfn.IFS(
AND(D154&gt;=26,D154&lt;=30),"26–30",
AND(D154&gt;=31,D154&lt;=35),"31–35",
AND(D154&gt;=36,D154&lt;=40),"36–40",
AND(D154&gt;=41,D154&lt;=45),"41–45",
AND(D154&gt;=46,D154&lt;=50),"46–50",
AND(D154&gt;=51,D154&lt;=60),"51–60")</f>
        <v>41–45</v>
      </c>
    </row>
    <row r="155" spans="1:14" x14ac:dyDescent="0.35">
      <c r="A155" t="s">
        <v>335</v>
      </c>
      <c r="B155" t="s">
        <v>336</v>
      </c>
      <c r="C155" t="s">
        <v>21</v>
      </c>
      <c r="D155">
        <v>29</v>
      </c>
      <c r="E155" t="s">
        <v>31</v>
      </c>
      <c r="F155" t="s">
        <v>16</v>
      </c>
      <c r="G155" t="s">
        <v>53</v>
      </c>
      <c r="H155" s="1">
        <v>44815</v>
      </c>
      <c r="J155">
        <v>314000</v>
      </c>
      <c r="K155">
        <v>0</v>
      </c>
      <c r="L155" t="s">
        <v>24</v>
      </c>
      <c r="M155">
        <f ca="1">IF(ISBLANK(Table1[[#This Row],[Exit]]),DATEDIF(Table1[[#This Row],[Hire]],TODAY(),"Y"),DATEDIF(Table1[[#This Row],[Hire]],Table1[[#This Row],[Exit]],"Y"))</f>
        <v>3</v>
      </c>
      <c r="N155" t="str" cm="1">
        <f t="array" ref="N155">_xlfn.IFS(
AND(D155&gt;=26,D155&lt;=30),"26–30",
AND(D155&gt;=31,D155&lt;=35),"31–35",
AND(D155&gt;=36,D155&lt;=40),"36–40",
AND(D155&gt;=41,D155&lt;=45),"41–45",
AND(D155&gt;=46,D155&lt;=50),"46–50",
AND(D155&gt;=51,D155&lt;=60),"51–60")</f>
        <v>26–30</v>
      </c>
    </row>
    <row r="156" spans="1:14" x14ac:dyDescent="0.35">
      <c r="A156" t="s">
        <v>337</v>
      </c>
      <c r="B156" t="s">
        <v>338</v>
      </c>
      <c r="C156" t="s">
        <v>21</v>
      </c>
      <c r="D156">
        <v>41</v>
      </c>
      <c r="E156" t="s">
        <v>81</v>
      </c>
      <c r="F156" t="s">
        <v>49</v>
      </c>
      <c r="G156" t="s">
        <v>34</v>
      </c>
      <c r="H156" s="1">
        <v>44857</v>
      </c>
      <c r="J156">
        <v>316000</v>
      </c>
      <c r="K156">
        <v>0</v>
      </c>
      <c r="L156" t="s">
        <v>24</v>
      </c>
      <c r="M156">
        <f ca="1">IF(ISBLANK(Table1[[#This Row],[Exit]]),DATEDIF(Table1[[#This Row],[Hire]],TODAY(),"Y"),DATEDIF(Table1[[#This Row],[Hire]],Table1[[#This Row],[Exit]],"Y"))</f>
        <v>3</v>
      </c>
      <c r="N156" t="str" cm="1">
        <f t="array" ref="N156">_xlfn.IFS(
AND(D156&gt;=26,D156&lt;=30),"26–30",
AND(D156&gt;=31,D156&lt;=35),"31–35",
AND(D156&gt;=36,D156&lt;=40),"36–40",
AND(D156&gt;=41,D156&lt;=45),"41–45",
AND(D156&gt;=46,D156&lt;=50),"46–50",
AND(D156&gt;=51,D156&lt;=60),"51–60")</f>
        <v>41–45</v>
      </c>
    </row>
    <row r="157" spans="1:14" x14ac:dyDescent="0.35">
      <c r="A157" t="s">
        <v>339</v>
      </c>
      <c r="B157" t="s">
        <v>340</v>
      </c>
      <c r="C157" t="s">
        <v>21</v>
      </c>
      <c r="D157">
        <v>47</v>
      </c>
      <c r="E157" t="s">
        <v>92</v>
      </c>
      <c r="F157" t="s">
        <v>59</v>
      </c>
      <c r="G157" t="s">
        <v>53</v>
      </c>
      <c r="H157" s="1">
        <v>45527</v>
      </c>
      <c r="J157">
        <v>318000</v>
      </c>
      <c r="K157">
        <v>0</v>
      </c>
      <c r="L157" t="s">
        <v>24</v>
      </c>
      <c r="M157">
        <f ca="1">IF(ISBLANK(Table1[[#This Row],[Exit]]),DATEDIF(Table1[[#This Row],[Hire]],TODAY(),"Y"),DATEDIF(Table1[[#This Row],[Hire]],Table1[[#This Row],[Exit]],"Y"))</f>
        <v>1</v>
      </c>
      <c r="N157" t="str" cm="1">
        <f t="array" ref="N157">_xlfn.IFS(
AND(D157&gt;=26,D157&lt;=30),"26–30",
AND(D157&gt;=31,D157&lt;=35),"31–35",
AND(D157&gt;=36,D157&lt;=40),"36–40",
AND(D157&gt;=41,D157&lt;=45),"41–45",
AND(D157&gt;=46,D157&lt;=50),"46–50",
AND(D157&gt;=51,D157&lt;=60),"51–60")</f>
        <v>46–50</v>
      </c>
    </row>
    <row r="158" spans="1:14" x14ac:dyDescent="0.35">
      <c r="A158" t="s">
        <v>341</v>
      </c>
      <c r="B158" t="s">
        <v>342</v>
      </c>
      <c r="C158" t="s">
        <v>14</v>
      </c>
      <c r="D158">
        <v>38</v>
      </c>
      <c r="E158" t="s">
        <v>81</v>
      </c>
      <c r="F158" t="s">
        <v>46</v>
      </c>
      <c r="G158" t="s">
        <v>23</v>
      </c>
      <c r="H158" s="1">
        <v>45237</v>
      </c>
      <c r="J158">
        <v>320000</v>
      </c>
      <c r="K158">
        <v>0</v>
      </c>
      <c r="L158" t="s">
        <v>24</v>
      </c>
      <c r="M158">
        <f ca="1">IF(ISBLANK(Table1[[#This Row],[Exit]]),DATEDIF(Table1[[#This Row],[Hire]],TODAY(),"Y"),DATEDIF(Table1[[#This Row],[Hire]],Table1[[#This Row],[Exit]],"Y"))</f>
        <v>2</v>
      </c>
      <c r="N158" t="str" cm="1">
        <f t="array" ref="N158">_xlfn.IFS(
AND(D158&gt;=26,D158&lt;=30),"26–30",
AND(D158&gt;=31,D158&lt;=35),"31–35",
AND(D158&gt;=36,D158&lt;=40),"36–40",
AND(D158&gt;=41,D158&lt;=45),"41–45",
AND(D158&gt;=46,D158&lt;=50),"46–50",
AND(D158&gt;=51,D158&lt;=60),"51–60")</f>
        <v>36–40</v>
      </c>
    </row>
    <row r="159" spans="1:14" x14ac:dyDescent="0.35">
      <c r="A159" t="s">
        <v>343</v>
      </c>
      <c r="B159" t="s">
        <v>344</v>
      </c>
      <c r="C159" t="s">
        <v>14</v>
      </c>
      <c r="D159">
        <v>40</v>
      </c>
      <c r="E159" t="s">
        <v>22</v>
      </c>
      <c r="F159" t="s">
        <v>16</v>
      </c>
      <c r="G159" t="s">
        <v>34</v>
      </c>
      <c r="H159" s="1">
        <v>45206</v>
      </c>
      <c r="J159">
        <v>322000</v>
      </c>
      <c r="K159">
        <v>0</v>
      </c>
      <c r="L159" t="s">
        <v>24</v>
      </c>
      <c r="M159">
        <f ca="1">IF(ISBLANK(Table1[[#This Row],[Exit]]),DATEDIF(Table1[[#This Row],[Hire]],TODAY(),"Y"),DATEDIF(Table1[[#This Row],[Hire]],Table1[[#This Row],[Exit]],"Y"))</f>
        <v>2</v>
      </c>
      <c r="N159" t="str" cm="1">
        <f t="array" ref="N159">_xlfn.IFS(
AND(D159&gt;=26,D159&lt;=30),"26–30",
AND(D159&gt;=31,D159&lt;=35),"31–35",
AND(D159&gt;=36,D159&lt;=40),"36–40",
AND(D159&gt;=41,D159&lt;=45),"41–45",
AND(D159&gt;=46,D159&lt;=50),"46–50",
AND(D159&gt;=51,D159&lt;=60),"51–60")</f>
        <v>36–40</v>
      </c>
    </row>
    <row r="160" spans="1:14" x14ac:dyDescent="0.35">
      <c r="A160" t="s">
        <v>345</v>
      </c>
      <c r="B160" t="s">
        <v>346</v>
      </c>
      <c r="C160" t="s">
        <v>21</v>
      </c>
      <c r="D160">
        <v>45</v>
      </c>
      <c r="E160" t="s">
        <v>92</v>
      </c>
      <c r="F160" t="s">
        <v>59</v>
      </c>
      <c r="G160" t="s">
        <v>34</v>
      </c>
      <c r="H160" s="1">
        <v>44677</v>
      </c>
      <c r="J160">
        <v>324000</v>
      </c>
      <c r="K160">
        <v>0</v>
      </c>
      <c r="L160" t="s">
        <v>24</v>
      </c>
      <c r="M160">
        <f ca="1">IF(ISBLANK(Table1[[#This Row],[Exit]]),DATEDIF(Table1[[#This Row],[Hire]],TODAY(),"Y"),DATEDIF(Table1[[#This Row],[Hire]],Table1[[#This Row],[Exit]],"Y"))</f>
        <v>3</v>
      </c>
      <c r="N160" t="str" cm="1">
        <f t="array" ref="N160">_xlfn.IFS(
AND(D160&gt;=26,D160&lt;=30),"26–30",
AND(D160&gt;=31,D160&lt;=35),"31–35",
AND(D160&gt;=36,D160&lt;=40),"36–40",
AND(D160&gt;=41,D160&lt;=45),"41–45",
AND(D160&gt;=46,D160&lt;=50),"46–50",
AND(D160&gt;=51,D160&lt;=60),"51–60")</f>
        <v>41–45</v>
      </c>
    </row>
    <row r="161" spans="1:14" x14ac:dyDescent="0.35">
      <c r="A161" t="s">
        <v>347</v>
      </c>
      <c r="B161" t="s">
        <v>348</v>
      </c>
      <c r="C161" t="s">
        <v>14</v>
      </c>
      <c r="D161">
        <v>26</v>
      </c>
      <c r="E161" t="s">
        <v>31</v>
      </c>
      <c r="F161" t="s">
        <v>16</v>
      </c>
      <c r="G161" t="s">
        <v>17</v>
      </c>
      <c r="H161" s="1">
        <v>43889</v>
      </c>
      <c r="J161">
        <v>326000</v>
      </c>
      <c r="K161">
        <v>0</v>
      </c>
      <c r="L161" t="s">
        <v>24</v>
      </c>
      <c r="M161">
        <f ca="1">IF(ISBLANK(Table1[[#This Row],[Exit]]),DATEDIF(Table1[[#This Row],[Hire]],TODAY(),"Y"),DATEDIF(Table1[[#This Row],[Hire]],Table1[[#This Row],[Exit]],"Y"))</f>
        <v>5</v>
      </c>
      <c r="N161" t="str" cm="1">
        <f t="array" ref="N161">_xlfn.IFS(
AND(D161&gt;=26,D161&lt;=30),"26–30",
AND(D161&gt;=31,D161&lt;=35),"31–35",
AND(D161&gt;=36,D161&lt;=40),"36–40",
AND(D161&gt;=41,D161&lt;=45),"41–45",
AND(D161&gt;=46,D161&lt;=50),"46–50",
AND(D161&gt;=51,D161&lt;=60),"51–60")</f>
        <v>26–30</v>
      </c>
    </row>
    <row r="162" spans="1:14" x14ac:dyDescent="0.35">
      <c r="A162" t="s">
        <v>349</v>
      </c>
      <c r="B162" t="s">
        <v>350</v>
      </c>
      <c r="C162" t="s">
        <v>14</v>
      </c>
      <c r="D162">
        <v>35</v>
      </c>
      <c r="E162" t="s">
        <v>15</v>
      </c>
      <c r="F162" t="s">
        <v>16</v>
      </c>
      <c r="G162" t="s">
        <v>17</v>
      </c>
      <c r="H162" s="1">
        <v>44116</v>
      </c>
      <c r="J162">
        <v>328000</v>
      </c>
      <c r="K162">
        <v>0</v>
      </c>
      <c r="L162" t="s">
        <v>24</v>
      </c>
      <c r="M162">
        <f ca="1">IF(ISBLANK(Table1[[#This Row],[Exit]]),DATEDIF(Table1[[#This Row],[Hire]],TODAY(),"Y"),DATEDIF(Table1[[#This Row],[Hire]],Table1[[#This Row],[Exit]],"Y"))</f>
        <v>5</v>
      </c>
      <c r="N162" t="str" cm="1">
        <f t="array" ref="N162">_xlfn.IFS(
AND(D162&gt;=26,D162&lt;=30),"26–30",
AND(D162&gt;=31,D162&lt;=35),"31–35",
AND(D162&gt;=36,D162&lt;=40),"36–40",
AND(D162&gt;=41,D162&lt;=45),"41–45",
AND(D162&gt;=46,D162&lt;=50),"46–50",
AND(D162&gt;=51,D162&lt;=60),"51–60")</f>
        <v>31–35</v>
      </c>
    </row>
    <row r="163" spans="1:14" x14ac:dyDescent="0.35">
      <c r="A163" t="s">
        <v>351</v>
      </c>
      <c r="B163" t="s">
        <v>352</v>
      </c>
      <c r="C163" t="s">
        <v>14</v>
      </c>
      <c r="D163">
        <v>29</v>
      </c>
      <c r="E163" t="s">
        <v>22</v>
      </c>
      <c r="F163" t="s">
        <v>16</v>
      </c>
      <c r="G163" t="s">
        <v>23</v>
      </c>
      <c r="H163" s="1">
        <v>44588</v>
      </c>
      <c r="J163">
        <v>330000</v>
      </c>
      <c r="K163">
        <v>0.15</v>
      </c>
      <c r="L163" t="s">
        <v>24</v>
      </c>
      <c r="M163">
        <f ca="1">IF(ISBLANK(Table1[[#This Row],[Exit]]),DATEDIF(Table1[[#This Row],[Hire]],TODAY(),"Y"),DATEDIF(Table1[[#This Row],[Hire]],Table1[[#This Row],[Exit]],"Y"))</f>
        <v>4</v>
      </c>
      <c r="N163" t="str" cm="1">
        <f t="array" ref="N163">_xlfn.IFS(
AND(D163&gt;=26,D163&lt;=30),"26–30",
AND(D163&gt;=31,D163&lt;=35),"31–35",
AND(D163&gt;=36,D163&lt;=40),"36–40",
AND(D163&gt;=41,D163&lt;=45),"41–45",
AND(D163&gt;=46,D163&lt;=50),"46–50",
AND(D163&gt;=51,D163&lt;=60),"51–60")</f>
        <v>26–30</v>
      </c>
    </row>
    <row r="164" spans="1:14" x14ac:dyDescent="0.35">
      <c r="A164" t="s">
        <v>353</v>
      </c>
      <c r="B164" t="s">
        <v>354</v>
      </c>
      <c r="C164" t="s">
        <v>355</v>
      </c>
      <c r="D164">
        <v>35</v>
      </c>
      <c r="E164" t="s">
        <v>27</v>
      </c>
      <c r="F164" t="s">
        <v>28</v>
      </c>
      <c r="G164" t="s">
        <v>17</v>
      </c>
      <c r="H164" s="1">
        <v>45337</v>
      </c>
      <c r="J164">
        <v>332000</v>
      </c>
      <c r="K164">
        <v>0</v>
      </c>
      <c r="L164" t="s">
        <v>24</v>
      </c>
      <c r="M164">
        <f ca="1">IF(ISBLANK(Table1[[#This Row],[Exit]]),DATEDIF(Table1[[#This Row],[Hire]],TODAY(),"Y"),DATEDIF(Table1[[#This Row],[Hire]],Table1[[#This Row],[Exit]],"Y"))</f>
        <v>1</v>
      </c>
      <c r="N164" t="str" cm="1">
        <f t="array" ref="N164">_xlfn.IFS(
AND(D164&gt;=26,D164&lt;=30),"26–30",
AND(D164&gt;=31,D164&lt;=35),"31–35",
AND(D164&gt;=36,D164&lt;=40),"36–40",
AND(D164&gt;=41,D164&lt;=45),"41–45",
AND(D164&gt;=46,D164&lt;=50),"46–50",
AND(D164&gt;=51,D164&lt;=60),"51–60")</f>
        <v>31–35</v>
      </c>
    </row>
    <row r="165" spans="1:14" x14ac:dyDescent="0.35">
      <c r="A165" t="s">
        <v>356</v>
      </c>
      <c r="B165" t="s">
        <v>357</v>
      </c>
      <c r="C165" t="s">
        <v>14</v>
      </c>
      <c r="D165">
        <v>27</v>
      </c>
      <c r="E165" t="s">
        <v>31</v>
      </c>
      <c r="F165" t="s">
        <v>16</v>
      </c>
      <c r="G165" t="s">
        <v>23</v>
      </c>
      <c r="H165" s="1">
        <v>45332</v>
      </c>
      <c r="J165">
        <v>334000</v>
      </c>
      <c r="K165">
        <v>0.13</v>
      </c>
      <c r="L165" t="s">
        <v>24</v>
      </c>
      <c r="M165">
        <f ca="1">IF(ISBLANK(Table1[[#This Row],[Exit]]),DATEDIF(Table1[[#This Row],[Hire]],TODAY(),"Y"),DATEDIF(Table1[[#This Row],[Hire]],Table1[[#This Row],[Exit]],"Y"))</f>
        <v>1</v>
      </c>
      <c r="N165" t="str" cm="1">
        <f t="array" ref="N165">_xlfn.IFS(
AND(D165&gt;=26,D165&lt;=30),"26–30",
AND(D165&gt;=31,D165&lt;=35),"31–35",
AND(D165&gt;=36,D165&lt;=40),"36–40",
AND(D165&gt;=41,D165&lt;=45),"41–45",
AND(D165&gt;=46,D165&lt;=50),"46–50",
AND(D165&gt;=51,D165&lt;=60),"51–60")</f>
        <v>26–30</v>
      </c>
    </row>
    <row r="166" spans="1:14" x14ac:dyDescent="0.35">
      <c r="A166" t="s">
        <v>358</v>
      </c>
      <c r="B166" t="s">
        <v>359</v>
      </c>
      <c r="C166" t="s">
        <v>21</v>
      </c>
      <c r="D166">
        <v>26</v>
      </c>
      <c r="E166" t="s">
        <v>27</v>
      </c>
      <c r="F166" t="s">
        <v>28</v>
      </c>
      <c r="G166" t="s">
        <v>34</v>
      </c>
      <c r="H166" s="1">
        <v>44183</v>
      </c>
      <c r="J166">
        <v>336000</v>
      </c>
      <c r="K166">
        <v>0</v>
      </c>
      <c r="L166" t="s">
        <v>24</v>
      </c>
      <c r="M166">
        <f ca="1">IF(ISBLANK(Table1[[#This Row],[Exit]]),DATEDIF(Table1[[#This Row],[Hire]],TODAY(),"Y"),DATEDIF(Table1[[#This Row],[Hire]],Table1[[#This Row],[Exit]],"Y"))</f>
        <v>5</v>
      </c>
      <c r="N166" t="str" cm="1">
        <f t="array" ref="N166">_xlfn.IFS(
AND(D166&gt;=26,D166&lt;=30),"26–30",
AND(D166&gt;=31,D166&lt;=35),"31–35",
AND(D166&gt;=36,D166&lt;=40),"36–40",
AND(D166&gt;=41,D166&lt;=45),"41–45",
AND(D166&gt;=46,D166&lt;=50),"46–50",
AND(D166&gt;=51,D166&lt;=60),"51–60")</f>
        <v>26–30</v>
      </c>
    </row>
    <row r="167" spans="1:14" x14ac:dyDescent="0.35">
      <c r="A167" t="s">
        <v>360</v>
      </c>
      <c r="B167" t="s">
        <v>361</v>
      </c>
      <c r="C167" t="s">
        <v>14</v>
      </c>
      <c r="D167">
        <v>27</v>
      </c>
      <c r="E167" t="s">
        <v>15</v>
      </c>
      <c r="F167" t="s">
        <v>16</v>
      </c>
      <c r="G167" t="s">
        <v>23</v>
      </c>
      <c r="H167" s="1">
        <v>43837</v>
      </c>
      <c r="J167">
        <v>338000</v>
      </c>
      <c r="K167">
        <v>0.1</v>
      </c>
      <c r="L167" t="s">
        <v>24</v>
      </c>
      <c r="M167">
        <f ca="1">IF(ISBLANK(Table1[[#This Row],[Exit]]),DATEDIF(Table1[[#This Row],[Hire]],TODAY(),"Y"),DATEDIF(Table1[[#This Row],[Hire]],Table1[[#This Row],[Exit]],"Y"))</f>
        <v>6</v>
      </c>
      <c r="N167" t="str" cm="1">
        <f t="array" ref="N167">_xlfn.IFS(
AND(D167&gt;=26,D167&lt;=30),"26–30",
AND(D167&gt;=31,D167&lt;=35),"31–35",
AND(D167&gt;=36,D167&lt;=40),"36–40",
AND(D167&gt;=41,D167&lt;=45),"41–45",
AND(D167&gt;=46,D167&lt;=50),"46–50",
AND(D167&gt;=51,D167&lt;=60),"51–60")</f>
        <v>26–30</v>
      </c>
    </row>
    <row r="168" spans="1:14" x14ac:dyDescent="0.35">
      <c r="A168" t="s">
        <v>362</v>
      </c>
      <c r="B168" t="s">
        <v>363</v>
      </c>
      <c r="C168" t="s">
        <v>21</v>
      </c>
      <c r="D168">
        <v>30</v>
      </c>
      <c r="E168" t="s">
        <v>15</v>
      </c>
      <c r="F168" t="s">
        <v>16</v>
      </c>
      <c r="G168" t="s">
        <v>34</v>
      </c>
      <c r="H168" s="1">
        <v>45206</v>
      </c>
      <c r="J168">
        <v>340000</v>
      </c>
      <c r="K168">
        <v>0.3</v>
      </c>
      <c r="L168" t="s">
        <v>24</v>
      </c>
      <c r="M168">
        <f ca="1">IF(ISBLANK(Table1[[#This Row],[Exit]]),DATEDIF(Table1[[#This Row],[Hire]],TODAY(),"Y"),DATEDIF(Table1[[#This Row],[Hire]],Table1[[#This Row],[Exit]],"Y"))</f>
        <v>2</v>
      </c>
      <c r="N168" t="str" cm="1">
        <f t="array" ref="N168">_xlfn.IFS(
AND(D168&gt;=26,D168&lt;=30),"26–30",
AND(D168&gt;=31,D168&lt;=35),"31–35",
AND(D168&gt;=36,D168&lt;=40),"36–40",
AND(D168&gt;=41,D168&lt;=45),"41–45",
AND(D168&gt;=46,D168&lt;=50),"46–50",
AND(D168&gt;=51,D168&lt;=60),"51–60")</f>
        <v>26–30</v>
      </c>
    </row>
    <row r="169" spans="1:14" x14ac:dyDescent="0.35">
      <c r="A169" t="s">
        <v>364</v>
      </c>
      <c r="B169" t="s">
        <v>365</v>
      </c>
      <c r="C169" t="s">
        <v>14</v>
      </c>
      <c r="D169">
        <v>36</v>
      </c>
      <c r="E169" t="s">
        <v>42</v>
      </c>
      <c r="F169" t="s">
        <v>43</v>
      </c>
      <c r="G169" t="s">
        <v>34</v>
      </c>
      <c r="H169" s="1">
        <v>44487</v>
      </c>
      <c r="J169">
        <v>342000</v>
      </c>
      <c r="K169">
        <v>0</v>
      </c>
      <c r="L169" t="s">
        <v>24</v>
      </c>
      <c r="M169">
        <f ca="1">IF(ISBLANK(Table1[[#This Row],[Exit]]),DATEDIF(Table1[[#This Row],[Hire]],TODAY(),"Y"),DATEDIF(Table1[[#This Row],[Hire]],Table1[[#This Row],[Exit]],"Y"))</f>
        <v>4</v>
      </c>
      <c r="N169" t="str" cm="1">
        <f t="array" ref="N169">_xlfn.IFS(
AND(D169&gt;=26,D169&lt;=30),"26–30",
AND(D169&gt;=31,D169&lt;=35),"31–35",
AND(D169&gt;=36,D169&lt;=40),"36–40",
AND(D169&gt;=41,D169&lt;=45),"41–45",
AND(D169&gt;=46,D169&lt;=50),"46–50",
AND(D169&gt;=51,D169&lt;=60),"51–60")</f>
        <v>36–40</v>
      </c>
    </row>
    <row r="170" spans="1:14" x14ac:dyDescent="0.35">
      <c r="A170" t="s">
        <v>366</v>
      </c>
      <c r="B170" t="s">
        <v>367</v>
      </c>
      <c r="C170" t="s">
        <v>21</v>
      </c>
      <c r="D170">
        <v>45</v>
      </c>
      <c r="E170" t="s">
        <v>42</v>
      </c>
      <c r="F170" t="s">
        <v>46</v>
      </c>
      <c r="G170" t="s">
        <v>23</v>
      </c>
      <c r="H170" s="1">
        <v>44791</v>
      </c>
      <c r="J170">
        <v>344000</v>
      </c>
      <c r="K170">
        <v>0.06</v>
      </c>
      <c r="L170" t="s">
        <v>24</v>
      </c>
      <c r="M170">
        <f ca="1">IF(ISBLANK(Table1[[#This Row],[Exit]]),DATEDIF(Table1[[#This Row],[Hire]],TODAY(),"Y"),DATEDIF(Table1[[#This Row],[Hire]],Table1[[#This Row],[Exit]],"Y"))</f>
        <v>3</v>
      </c>
      <c r="N170" t="str" cm="1">
        <f t="array" ref="N170">_xlfn.IFS(
AND(D170&gt;=26,D170&lt;=30),"26–30",
AND(D170&gt;=31,D170&lt;=35),"31–35",
AND(D170&gt;=36,D170&lt;=40),"36–40",
AND(D170&gt;=41,D170&lt;=45),"41–45",
AND(D170&gt;=46,D170&lt;=50),"46–50",
AND(D170&gt;=51,D170&lt;=60),"51–60")</f>
        <v>41–45</v>
      </c>
    </row>
    <row r="171" spans="1:14" x14ac:dyDescent="0.35">
      <c r="A171" t="s">
        <v>368</v>
      </c>
      <c r="B171" t="s">
        <v>369</v>
      </c>
      <c r="C171" t="s">
        <v>14</v>
      </c>
      <c r="D171">
        <v>37</v>
      </c>
      <c r="E171" t="s">
        <v>42</v>
      </c>
      <c r="F171" t="s">
        <v>49</v>
      </c>
      <c r="G171" t="s">
        <v>17</v>
      </c>
      <c r="H171" s="1">
        <v>45440</v>
      </c>
      <c r="J171">
        <v>346000</v>
      </c>
      <c r="K171">
        <v>0</v>
      </c>
      <c r="L171" t="s">
        <v>24</v>
      </c>
      <c r="M171">
        <f ca="1">IF(ISBLANK(Table1[[#This Row],[Exit]]),DATEDIF(Table1[[#This Row],[Hire]],TODAY(),"Y"),DATEDIF(Table1[[#This Row],[Hire]],Table1[[#This Row],[Exit]],"Y"))</f>
        <v>1</v>
      </c>
      <c r="N171" t="str" cm="1">
        <f t="array" ref="N171">_xlfn.IFS(
AND(D171&gt;=26,D171&lt;=30),"26–30",
AND(D171&gt;=31,D171&lt;=35),"31–35",
AND(D171&gt;=36,D171&lt;=40),"36–40",
AND(D171&gt;=41,D171&lt;=45),"41–45",
AND(D171&gt;=46,D171&lt;=50),"46–50",
AND(D171&gt;=51,D171&lt;=60),"51–60")</f>
        <v>36–40</v>
      </c>
    </row>
    <row r="172" spans="1:14" x14ac:dyDescent="0.35">
      <c r="A172" t="s">
        <v>370</v>
      </c>
      <c r="B172" t="s">
        <v>371</v>
      </c>
      <c r="C172" t="s">
        <v>14</v>
      </c>
      <c r="D172">
        <v>38</v>
      </c>
      <c r="E172" t="s">
        <v>52</v>
      </c>
      <c r="F172" t="s">
        <v>16</v>
      </c>
      <c r="G172" t="s">
        <v>53</v>
      </c>
      <c r="H172" s="1">
        <v>44811</v>
      </c>
      <c r="J172">
        <v>348000</v>
      </c>
      <c r="K172">
        <v>0.3</v>
      </c>
      <c r="L172" t="s">
        <v>24</v>
      </c>
      <c r="M172">
        <f ca="1">IF(ISBLANK(Table1[[#This Row],[Exit]]),DATEDIF(Table1[[#This Row],[Hire]],TODAY(),"Y"),DATEDIF(Table1[[#This Row],[Hire]],Table1[[#This Row],[Exit]],"Y"))</f>
        <v>3</v>
      </c>
      <c r="N172" t="str" cm="1">
        <f t="array" ref="N172">_xlfn.IFS(
AND(D172&gt;=26,D172&lt;=30),"26–30",
AND(D172&gt;=31,D172&lt;=35),"31–35",
AND(D172&gt;=36,D172&lt;=40),"36–40",
AND(D172&gt;=41,D172&lt;=45),"41–45",
AND(D172&gt;=46,D172&lt;=50),"46–50",
AND(D172&gt;=51,D172&lt;=60),"51–60")</f>
        <v>36–40</v>
      </c>
    </row>
    <row r="173" spans="1:14" x14ac:dyDescent="0.35">
      <c r="A173" t="s">
        <v>372</v>
      </c>
      <c r="B173" t="s">
        <v>373</v>
      </c>
      <c r="C173" t="s">
        <v>14</v>
      </c>
      <c r="D173">
        <v>45</v>
      </c>
      <c r="E173" t="s">
        <v>42</v>
      </c>
      <c r="F173" t="s">
        <v>46</v>
      </c>
      <c r="G173" t="s">
        <v>53</v>
      </c>
      <c r="H173" s="1">
        <v>45294</v>
      </c>
      <c r="J173">
        <v>350000</v>
      </c>
      <c r="K173">
        <v>0</v>
      </c>
      <c r="L173" t="s">
        <v>24</v>
      </c>
      <c r="M173">
        <f ca="1">IF(ISBLANK(Table1[[#This Row],[Exit]]),DATEDIF(Table1[[#This Row],[Hire]],TODAY(),"Y"),DATEDIF(Table1[[#This Row],[Hire]],Table1[[#This Row],[Exit]],"Y"))</f>
        <v>2</v>
      </c>
      <c r="N173" t="str" cm="1">
        <f t="array" ref="N173">_xlfn.IFS(
AND(D173&gt;=26,D173&lt;=30),"26–30",
AND(D173&gt;=31,D173&lt;=35),"31–35",
AND(D173&gt;=36,D173&lt;=40),"36–40",
AND(D173&gt;=41,D173&lt;=45),"41–45",
AND(D173&gt;=46,D173&lt;=50),"46–50",
AND(D173&gt;=51,D173&lt;=60),"51–60")</f>
        <v>41–45</v>
      </c>
    </row>
    <row r="174" spans="1:14" x14ac:dyDescent="0.35">
      <c r="A174" t="s">
        <v>374</v>
      </c>
      <c r="B174" t="s">
        <v>375</v>
      </c>
      <c r="C174" t="s">
        <v>41</v>
      </c>
      <c r="D174">
        <v>51</v>
      </c>
      <c r="E174" t="s">
        <v>58</v>
      </c>
      <c r="F174" t="s">
        <v>59</v>
      </c>
      <c r="G174" t="s">
        <v>34</v>
      </c>
      <c r="H174" s="1">
        <v>45074</v>
      </c>
      <c r="I174" s="1">
        <v>45536</v>
      </c>
      <c r="J174">
        <v>352000</v>
      </c>
      <c r="K174">
        <v>0.32</v>
      </c>
      <c r="L174" t="s">
        <v>18</v>
      </c>
      <c r="M174">
        <f ca="1">IF(ISBLANK(Table1[[#This Row],[Exit]]),DATEDIF(Table1[[#This Row],[Hire]],TODAY(),"Y"),DATEDIF(Table1[[#This Row],[Hire]],Table1[[#This Row],[Exit]],"Y"))</f>
        <v>1</v>
      </c>
      <c r="N174" t="str" cm="1">
        <f t="array" ref="N174">_xlfn.IFS(
AND(D174&gt;=26,D174&lt;=30),"26–30",
AND(D174&gt;=31,D174&lt;=35),"31–35",
AND(D174&gt;=36,D174&lt;=40),"36–40",
AND(D174&gt;=41,D174&lt;=45),"41–45",
AND(D174&gt;=46,D174&lt;=50),"46–50",
AND(D174&gt;=51,D174&lt;=60),"51–60")</f>
        <v>51–60</v>
      </c>
    </row>
    <row r="175" spans="1:14" x14ac:dyDescent="0.35">
      <c r="A175" t="s">
        <v>376</v>
      </c>
      <c r="B175" t="s">
        <v>377</v>
      </c>
      <c r="C175" t="s">
        <v>14</v>
      </c>
      <c r="D175">
        <v>56</v>
      </c>
      <c r="E175" t="s">
        <v>52</v>
      </c>
      <c r="F175" t="s">
        <v>16</v>
      </c>
      <c r="G175" t="s">
        <v>23</v>
      </c>
      <c r="H175" s="1">
        <v>45245</v>
      </c>
      <c r="J175">
        <v>354000</v>
      </c>
      <c r="K175">
        <v>0</v>
      </c>
      <c r="L175" t="s">
        <v>24</v>
      </c>
      <c r="M175">
        <f ca="1">IF(ISBLANK(Table1[[#This Row],[Exit]]),DATEDIF(Table1[[#This Row],[Hire]],TODAY(),"Y"),DATEDIF(Table1[[#This Row],[Hire]],Table1[[#This Row],[Exit]],"Y"))</f>
        <v>2</v>
      </c>
      <c r="N175" t="str" cm="1">
        <f t="array" ref="N175">_xlfn.IFS(
AND(D175&gt;=26,D175&lt;=30),"26–30",
AND(D175&gt;=31,D175&lt;=35),"31–35",
AND(D175&gt;=36,D175&lt;=40),"36–40",
AND(D175&gt;=41,D175&lt;=45),"41–45",
AND(D175&gt;=46,D175&lt;=50),"46–50",
AND(D175&gt;=51,D175&lt;=60),"51–60")</f>
        <v>51–60</v>
      </c>
    </row>
    <row r="176" spans="1:14" x14ac:dyDescent="0.35">
      <c r="A176" t="s">
        <v>378</v>
      </c>
      <c r="B176" t="s">
        <v>379</v>
      </c>
      <c r="C176" t="s">
        <v>14</v>
      </c>
      <c r="D176">
        <v>53</v>
      </c>
      <c r="E176" t="s">
        <v>52</v>
      </c>
      <c r="F176" t="s">
        <v>16</v>
      </c>
      <c r="G176" t="s">
        <v>34</v>
      </c>
      <c r="H176" s="1">
        <v>43851</v>
      </c>
      <c r="J176">
        <v>356000</v>
      </c>
      <c r="K176">
        <v>0</v>
      </c>
      <c r="L176" t="s">
        <v>24</v>
      </c>
      <c r="M176">
        <f ca="1">IF(ISBLANK(Table1[[#This Row],[Exit]]),DATEDIF(Table1[[#This Row],[Hire]],TODAY(),"Y"),DATEDIF(Table1[[#This Row],[Hire]],Table1[[#This Row],[Exit]],"Y"))</f>
        <v>6</v>
      </c>
      <c r="N176" t="str" cm="1">
        <f t="array" ref="N176">_xlfn.IFS(
AND(D176&gt;=26,D176&lt;=30),"26–30",
AND(D176&gt;=31,D176&lt;=35),"31–35",
AND(D176&gt;=36,D176&lt;=40),"36–40",
AND(D176&gt;=41,D176&lt;=45),"41–45",
AND(D176&gt;=46,D176&lt;=50),"46–50",
AND(D176&gt;=51,D176&lt;=60),"51–60")</f>
        <v>51–60</v>
      </c>
    </row>
    <row r="177" spans="1:14" x14ac:dyDescent="0.35">
      <c r="A177" t="s">
        <v>380</v>
      </c>
      <c r="B177" t="s">
        <v>381</v>
      </c>
      <c r="C177" t="s">
        <v>21</v>
      </c>
      <c r="D177">
        <v>47</v>
      </c>
      <c r="E177" t="s">
        <v>66</v>
      </c>
      <c r="F177" t="s">
        <v>16</v>
      </c>
      <c r="G177" t="s">
        <v>17</v>
      </c>
      <c r="H177" s="1">
        <v>45206</v>
      </c>
      <c r="J177">
        <v>358000</v>
      </c>
      <c r="K177">
        <v>0.39</v>
      </c>
      <c r="L177" t="s">
        <v>24</v>
      </c>
      <c r="M177">
        <f ca="1">IF(ISBLANK(Table1[[#This Row],[Exit]]),DATEDIF(Table1[[#This Row],[Hire]],TODAY(),"Y"),DATEDIF(Table1[[#This Row],[Hire]],Table1[[#This Row],[Exit]],"Y"))</f>
        <v>2</v>
      </c>
      <c r="N177" t="str" cm="1">
        <f t="array" ref="N177">_xlfn.IFS(
AND(D177&gt;=26,D177&lt;=30),"26–30",
AND(D177&gt;=31,D177&lt;=35),"31–35",
AND(D177&gt;=36,D177&lt;=40),"36–40",
AND(D177&gt;=41,D177&lt;=45),"41–45",
AND(D177&gt;=46,D177&lt;=50),"46–50",
AND(D177&gt;=51,D177&lt;=60),"51–60")</f>
        <v>46–50</v>
      </c>
    </row>
    <row r="178" spans="1:14" x14ac:dyDescent="0.35">
      <c r="A178" t="s">
        <v>382</v>
      </c>
      <c r="B178" t="s">
        <v>383</v>
      </c>
      <c r="C178" t="s">
        <v>14</v>
      </c>
      <c r="D178">
        <v>36</v>
      </c>
      <c r="E178" t="s">
        <v>58</v>
      </c>
      <c r="F178" t="s">
        <v>59</v>
      </c>
      <c r="G178" t="s">
        <v>23</v>
      </c>
      <c r="H178" s="1">
        <v>45401</v>
      </c>
      <c r="J178">
        <v>360000</v>
      </c>
      <c r="K178">
        <v>0</v>
      </c>
      <c r="L178" t="s">
        <v>24</v>
      </c>
      <c r="M178">
        <f ca="1">IF(ISBLANK(Table1[[#This Row],[Exit]]),DATEDIF(Table1[[#This Row],[Hire]],TODAY(),"Y"),DATEDIF(Table1[[#This Row],[Hire]],Table1[[#This Row],[Exit]],"Y"))</f>
        <v>1</v>
      </c>
      <c r="N178" t="str" cm="1">
        <f t="array" ref="N178">_xlfn.IFS(
AND(D178&gt;=26,D178&lt;=30),"26–30",
AND(D178&gt;=31,D178&lt;=35),"31–35",
AND(D178&gt;=36,D178&lt;=40),"36–40",
AND(D178&gt;=41,D178&lt;=45),"41–45",
AND(D178&gt;=46,D178&lt;=50),"46–50",
AND(D178&gt;=51,D178&lt;=60),"51–60")</f>
        <v>36–40</v>
      </c>
    </row>
    <row r="179" spans="1:14" x14ac:dyDescent="0.35">
      <c r="A179" t="s">
        <v>384</v>
      </c>
      <c r="B179" t="s">
        <v>385</v>
      </c>
      <c r="C179" t="s">
        <v>21</v>
      </c>
      <c r="D179">
        <v>41</v>
      </c>
      <c r="E179" t="s">
        <v>66</v>
      </c>
      <c r="F179" t="s">
        <v>16</v>
      </c>
      <c r="G179" t="s">
        <v>34</v>
      </c>
      <c r="H179" s="1">
        <v>44083</v>
      </c>
      <c r="J179">
        <v>362000</v>
      </c>
      <c r="K179">
        <v>0.22</v>
      </c>
      <c r="L179" t="s">
        <v>24</v>
      </c>
      <c r="M179">
        <f ca="1">IF(ISBLANK(Table1[[#This Row],[Exit]]),DATEDIF(Table1[[#This Row],[Hire]],TODAY(),"Y"),DATEDIF(Table1[[#This Row],[Hire]],Table1[[#This Row],[Exit]],"Y"))</f>
        <v>5</v>
      </c>
      <c r="N179" t="str" cm="1">
        <f t="array" ref="N179">_xlfn.IFS(
AND(D179&gt;=26,D179&lt;=30),"26–30",
AND(D179&gt;=31,D179&lt;=35),"31–35",
AND(D179&gt;=36,D179&lt;=40),"36–40",
AND(D179&gt;=41,D179&lt;=45),"41–45",
AND(D179&gt;=46,D179&lt;=50),"46–50",
AND(D179&gt;=51,D179&lt;=60),"51–60")</f>
        <v>41–45</v>
      </c>
    </row>
    <row r="180" spans="1:14" x14ac:dyDescent="0.35">
      <c r="A180" t="s">
        <v>386</v>
      </c>
      <c r="B180" t="s">
        <v>387</v>
      </c>
      <c r="C180" t="s">
        <v>21</v>
      </c>
      <c r="D180">
        <v>30</v>
      </c>
      <c r="E180" t="s">
        <v>66</v>
      </c>
      <c r="F180" t="s">
        <v>16</v>
      </c>
      <c r="G180" t="s">
        <v>53</v>
      </c>
      <c r="H180" s="1">
        <v>45233</v>
      </c>
      <c r="J180">
        <v>364000</v>
      </c>
      <c r="K180">
        <v>0</v>
      </c>
      <c r="L180" t="s">
        <v>24</v>
      </c>
      <c r="M180">
        <f ca="1">IF(ISBLANK(Table1[[#This Row],[Exit]]),DATEDIF(Table1[[#This Row],[Hire]],TODAY(),"Y"),DATEDIF(Table1[[#This Row],[Hire]],Table1[[#This Row],[Exit]],"Y"))</f>
        <v>2</v>
      </c>
      <c r="N180" t="str" cm="1">
        <f t="array" ref="N180">_xlfn.IFS(
AND(D180&gt;=26,D180&lt;=30),"26–30",
AND(D180&gt;=31,D180&lt;=35),"31–35",
AND(D180&gt;=36,D180&lt;=40),"36–40",
AND(D180&gt;=41,D180&lt;=45),"41–45",
AND(D180&gt;=46,D180&lt;=50),"46–50",
AND(D180&gt;=51,D180&lt;=60),"51–60")</f>
        <v>26–30</v>
      </c>
    </row>
    <row r="181" spans="1:14" x14ac:dyDescent="0.35">
      <c r="A181" t="s">
        <v>388</v>
      </c>
      <c r="B181" t="s">
        <v>389</v>
      </c>
      <c r="C181" t="s">
        <v>21</v>
      </c>
      <c r="D181">
        <v>30</v>
      </c>
      <c r="E181" t="s">
        <v>58</v>
      </c>
      <c r="F181" t="s">
        <v>59</v>
      </c>
      <c r="G181" t="s">
        <v>53</v>
      </c>
      <c r="H181" s="1">
        <v>45412</v>
      </c>
      <c r="J181">
        <v>366000</v>
      </c>
      <c r="K181">
        <v>0</v>
      </c>
      <c r="L181" t="s">
        <v>24</v>
      </c>
      <c r="M181">
        <f ca="1">IF(ISBLANK(Table1[[#This Row],[Exit]]),DATEDIF(Table1[[#This Row],[Hire]],TODAY(),"Y"),DATEDIF(Table1[[#This Row],[Hire]],Table1[[#This Row],[Exit]],"Y"))</f>
        <v>1</v>
      </c>
      <c r="N181" t="str" cm="1">
        <f t="array" ref="N181">_xlfn.IFS(
AND(D181&gt;=26,D181&lt;=30),"26–30",
AND(D181&gt;=31,D181&lt;=35),"31–35",
AND(D181&gt;=36,D181&lt;=40),"36–40",
AND(D181&gt;=41,D181&lt;=45),"41–45",
AND(D181&gt;=46,D181&lt;=50),"46–50",
AND(D181&gt;=51,D181&lt;=60),"51–60")</f>
        <v>26–30</v>
      </c>
    </row>
    <row r="182" spans="1:14" x14ac:dyDescent="0.35">
      <c r="A182" t="s">
        <v>390</v>
      </c>
      <c r="B182" t="s">
        <v>391</v>
      </c>
      <c r="C182" t="s">
        <v>14</v>
      </c>
      <c r="D182">
        <v>38</v>
      </c>
      <c r="E182" t="s">
        <v>15</v>
      </c>
      <c r="F182" t="s">
        <v>16</v>
      </c>
      <c r="G182" t="s">
        <v>53</v>
      </c>
      <c r="H182" s="1">
        <v>43887</v>
      </c>
      <c r="J182">
        <v>368000</v>
      </c>
      <c r="K182">
        <v>7.0000000000000007E-2</v>
      </c>
      <c r="L182" t="s">
        <v>24</v>
      </c>
      <c r="M182">
        <f ca="1">IF(ISBLANK(Table1[[#This Row],[Exit]]),DATEDIF(Table1[[#This Row],[Hire]],TODAY(),"Y"),DATEDIF(Table1[[#This Row],[Hire]],Table1[[#This Row],[Exit]],"Y"))</f>
        <v>5</v>
      </c>
      <c r="N182" t="str" cm="1">
        <f t="array" ref="N182">_xlfn.IFS(
AND(D182&gt;=26,D182&lt;=30),"26–30",
AND(D182&gt;=31,D182&lt;=35),"31–35",
AND(D182&gt;=36,D182&lt;=40),"36–40",
AND(D182&gt;=41,D182&lt;=45),"41–45",
AND(D182&gt;=46,D182&lt;=50),"46–50",
AND(D182&gt;=51,D182&lt;=60),"51–60")</f>
        <v>36–40</v>
      </c>
    </row>
    <row r="183" spans="1:14" x14ac:dyDescent="0.35">
      <c r="A183" t="s">
        <v>392</v>
      </c>
      <c r="B183" t="s">
        <v>393</v>
      </c>
      <c r="C183" t="s">
        <v>41</v>
      </c>
      <c r="D183">
        <v>28</v>
      </c>
      <c r="E183" t="s">
        <v>22</v>
      </c>
      <c r="F183" t="s">
        <v>16</v>
      </c>
      <c r="G183" t="s">
        <v>53</v>
      </c>
      <c r="H183" s="1">
        <v>44815</v>
      </c>
      <c r="J183">
        <v>370000</v>
      </c>
      <c r="K183">
        <v>0</v>
      </c>
      <c r="L183" t="s">
        <v>24</v>
      </c>
      <c r="M183">
        <f ca="1">IF(ISBLANK(Table1[[#This Row],[Exit]]),DATEDIF(Table1[[#This Row],[Hire]],TODAY(),"Y"),DATEDIF(Table1[[#This Row],[Hire]],Table1[[#This Row],[Exit]],"Y"))</f>
        <v>3</v>
      </c>
      <c r="N183" t="str" cm="1">
        <f t="array" ref="N183">_xlfn.IFS(
AND(D183&gt;=26,D183&lt;=30),"26–30",
AND(D183&gt;=31,D183&lt;=35),"31–35",
AND(D183&gt;=36,D183&lt;=40),"36–40",
AND(D183&gt;=41,D183&lt;=45),"41–45",
AND(D183&gt;=46,D183&lt;=50),"46–50",
AND(D183&gt;=51,D183&lt;=60),"51–60")</f>
        <v>26–30</v>
      </c>
    </row>
    <row r="184" spans="1:14" x14ac:dyDescent="0.35">
      <c r="A184" t="s">
        <v>394</v>
      </c>
      <c r="B184" t="s">
        <v>395</v>
      </c>
      <c r="C184" t="s">
        <v>14</v>
      </c>
      <c r="D184">
        <v>39</v>
      </c>
      <c r="E184" t="s">
        <v>81</v>
      </c>
      <c r="F184" t="s">
        <v>43</v>
      </c>
      <c r="G184" t="s">
        <v>53</v>
      </c>
      <c r="H184" s="1">
        <v>45430</v>
      </c>
      <c r="J184">
        <v>372000</v>
      </c>
      <c r="K184">
        <v>0.4</v>
      </c>
      <c r="L184" t="s">
        <v>24</v>
      </c>
      <c r="M184">
        <f ca="1">IF(ISBLANK(Table1[[#This Row],[Exit]]),DATEDIF(Table1[[#This Row],[Hire]],TODAY(),"Y"),DATEDIF(Table1[[#This Row],[Hire]],Table1[[#This Row],[Exit]],"Y"))</f>
        <v>1</v>
      </c>
      <c r="N184" t="str" cm="1">
        <f t="array" ref="N184">_xlfn.IFS(
AND(D184&gt;=26,D184&lt;=30),"26–30",
AND(D184&gt;=31,D184&lt;=35),"31–35",
AND(D184&gt;=36,D184&lt;=40),"36–40",
AND(D184&gt;=41,D184&lt;=45),"41–45",
AND(D184&gt;=46,D184&lt;=50),"46–50",
AND(D184&gt;=51,D184&lt;=60),"51–60")</f>
        <v>36–40</v>
      </c>
    </row>
    <row r="185" spans="1:14" x14ac:dyDescent="0.35">
      <c r="A185" t="s">
        <v>396</v>
      </c>
      <c r="B185" t="s">
        <v>397</v>
      </c>
      <c r="C185" t="s">
        <v>21</v>
      </c>
      <c r="D185">
        <v>31</v>
      </c>
      <c r="E185" t="s">
        <v>52</v>
      </c>
      <c r="F185" t="s">
        <v>16</v>
      </c>
      <c r="G185" t="s">
        <v>17</v>
      </c>
      <c r="H185" s="1">
        <v>44509</v>
      </c>
      <c r="J185">
        <v>374000</v>
      </c>
      <c r="K185">
        <v>0</v>
      </c>
      <c r="L185" t="s">
        <v>24</v>
      </c>
      <c r="M185">
        <f ca="1">IF(ISBLANK(Table1[[#This Row],[Exit]]),DATEDIF(Table1[[#This Row],[Hire]],TODAY(),"Y"),DATEDIF(Table1[[#This Row],[Hire]],Table1[[#This Row],[Exit]],"Y"))</f>
        <v>4</v>
      </c>
      <c r="N185" t="str" cm="1">
        <f t="array" ref="N185">_xlfn.IFS(
AND(D185&gt;=26,D185&lt;=30),"26–30",
AND(D185&gt;=31,D185&lt;=35),"31–35",
AND(D185&gt;=36,D185&lt;=40),"36–40",
AND(D185&gt;=41,D185&lt;=45),"41–45",
AND(D185&gt;=46,D185&lt;=50),"46–50",
AND(D185&gt;=51,D185&lt;=60),"51–60")</f>
        <v>31–35</v>
      </c>
    </row>
    <row r="186" spans="1:14" x14ac:dyDescent="0.35">
      <c r="A186" t="s">
        <v>398</v>
      </c>
      <c r="B186" t="s">
        <v>399</v>
      </c>
      <c r="C186" t="s">
        <v>41</v>
      </c>
      <c r="D186">
        <v>45</v>
      </c>
      <c r="E186" t="s">
        <v>66</v>
      </c>
      <c r="F186" t="s">
        <v>16</v>
      </c>
      <c r="G186" t="s">
        <v>23</v>
      </c>
      <c r="H186" s="1">
        <v>43963</v>
      </c>
      <c r="J186">
        <v>376000</v>
      </c>
      <c r="K186">
        <v>0.15</v>
      </c>
      <c r="L186" t="s">
        <v>24</v>
      </c>
      <c r="M186">
        <f ca="1">IF(ISBLANK(Table1[[#This Row],[Exit]]),DATEDIF(Table1[[#This Row],[Hire]],TODAY(),"Y"),DATEDIF(Table1[[#This Row],[Hire]],Table1[[#This Row],[Exit]],"Y"))</f>
        <v>5</v>
      </c>
      <c r="N186" t="str" cm="1">
        <f t="array" ref="N186">_xlfn.IFS(
AND(D186&gt;=26,D186&lt;=30),"26–30",
AND(D186&gt;=31,D186&lt;=35),"31–35",
AND(D186&gt;=36,D186&lt;=40),"36–40",
AND(D186&gt;=41,D186&lt;=45),"41–45",
AND(D186&gt;=46,D186&lt;=50),"46–50",
AND(D186&gt;=51,D186&lt;=60),"51–60")</f>
        <v>41–45</v>
      </c>
    </row>
    <row r="187" spans="1:14" x14ac:dyDescent="0.35">
      <c r="A187" t="s">
        <v>400</v>
      </c>
      <c r="B187" t="s">
        <v>401</v>
      </c>
      <c r="C187" t="s">
        <v>14</v>
      </c>
      <c r="D187">
        <v>50</v>
      </c>
      <c r="E187" t="s">
        <v>31</v>
      </c>
      <c r="F187" t="s">
        <v>16</v>
      </c>
      <c r="G187" t="s">
        <v>53</v>
      </c>
      <c r="H187" s="1">
        <v>44815</v>
      </c>
      <c r="J187">
        <v>378000</v>
      </c>
      <c r="K187">
        <v>0</v>
      </c>
      <c r="L187" t="s">
        <v>24</v>
      </c>
      <c r="M187">
        <f ca="1">IF(ISBLANK(Table1[[#This Row],[Exit]]),DATEDIF(Table1[[#This Row],[Hire]],TODAY(),"Y"),DATEDIF(Table1[[#This Row],[Hire]],Table1[[#This Row],[Exit]],"Y"))</f>
        <v>3</v>
      </c>
      <c r="N187" t="str" cm="1">
        <f t="array" ref="N187">_xlfn.IFS(
AND(D187&gt;=26,D187&lt;=30),"26–30",
AND(D187&gt;=31,D187&lt;=35),"31–35",
AND(D187&gt;=36,D187&lt;=40),"36–40",
AND(D187&gt;=41,D187&lt;=45),"41–45",
AND(D187&gt;=46,D187&lt;=50),"46–50",
AND(D187&gt;=51,D187&lt;=60),"51–60")</f>
        <v>46–50</v>
      </c>
    </row>
    <row r="188" spans="1:14" x14ac:dyDescent="0.35">
      <c r="A188" t="s">
        <v>402</v>
      </c>
      <c r="B188" t="s">
        <v>403</v>
      </c>
      <c r="C188" t="s">
        <v>14</v>
      </c>
      <c r="D188">
        <v>36</v>
      </c>
      <c r="E188" t="s">
        <v>81</v>
      </c>
      <c r="F188" t="s">
        <v>49</v>
      </c>
      <c r="G188" t="s">
        <v>34</v>
      </c>
      <c r="H188" s="1">
        <v>44857</v>
      </c>
      <c r="J188">
        <v>380000</v>
      </c>
      <c r="K188">
        <v>0.05</v>
      </c>
      <c r="L188" t="s">
        <v>24</v>
      </c>
      <c r="M188">
        <f ca="1">IF(ISBLANK(Table1[[#This Row],[Exit]]),DATEDIF(Table1[[#This Row],[Hire]],TODAY(),"Y"),DATEDIF(Table1[[#This Row],[Hire]],Table1[[#This Row],[Exit]],"Y"))</f>
        <v>3</v>
      </c>
      <c r="N188" t="str" cm="1">
        <f t="array" ref="N188">_xlfn.IFS(
AND(D188&gt;=26,D188&lt;=30),"26–30",
AND(D188&gt;=31,D188&lt;=35),"31–35",
AND(D188&gt;=36,D188&lt;=40),"36–40",
AND(D188&gt;=41,D188&lt;=45),"41–45",
AND(D188&gt;=46,D188&lt;=50),"46–50",
AND(D188&gt;=51,D188&lt;=60),"51–60")</f>
        <v>36–40</v>
      </c>
    </row>
    <row r="189" spans="1:14" x14ac:dyDescent="0.35">
      <c r="A189" t="s">
        <v>404</v>
      </c>
      <c r="B189" t="s">
        <v>405</v>
      </c>
      <c r="C189" t="s">
        <v>21</v>
      </c>
      <c r="D189">
        <v>45</v>
      </c>
      <c r="E189" t="s">
        <v>92</v>
      </c>
      <c r="F189" t="s">
        <v>59</v>
      </c>
      <c r="G189" t="s">
        <v>53</v>
      </c>
      <c r="H189" s="1">
        <v>45527</v>
      </c>
      <c r="J189">
        <v>382000</v>
      </c>
      <c r="K189">
        <v>0</v>
      </c>
      <c r="L189" t="s">
        <v>24</v>
      </c>
      <c r="M189">
        <f ca="1">IF(ISBLANK(Table1[[#This Row],[Exit]]),DATEDIF(Table1[[#This Row],[Hire]],TODAY(),"Y"),DATEDIF(Table1[[#This Row],[Hire]],Table1[[#This Row],[Exit]],"Y"))</f>
        <v>1</v>
      </c>
      <c r="N189" t="str" cm="1">
        <f t="array" ref="N189">_xlfn.IFS(
AND(D189&gt;=26,D189&lt;=30),"26–30",
AND(D189&gt;=31,D189&lt;=35),"31–35",
AND(D189&gt;=36,D189&lt;=40),"36–40",
AND(D189&gt;=41,D189&lt;=45),"41–45",
AND(D189&gt;=46,D189&lt;=50),"46–50",
AND(D189&gt;=51,D189&lt;=60),"51–60")</f>
        <v>41–45</v>
      </c>
    </row>
    <row r="190" spans="1:14" x14ac:dyDescent="0.35">
      <c r="A190" t="s">
        <v>406</v>
      </c>
      <c r="B190" t="s">
        <v>407</v>
      </c>
      <c r="C190" t="s">
        <v>21</v>
      </c>
      <c r="D190">
        <v>29</v>
      </c>
      <c r="E190" t="s">
        <v>81</v>
      </c>
      <c r="F190" t="s">
        <v>46</v>
      </c>
      <c r="G190" t="s">
        <v>23</v>
      </c>
      <c r="H190" s="1">
        <v>45237</v>
      </c>
      <c r="J190">
        <v>384000</v>
      </c>
      <c r="K190">
        <v>0</v>
      </c>
      <c r="L190" t="s">
        <v>24</v>
      </c>
      <c r="M190">
        <f ca="1">IF(ISBLANK(Table1[[#This Row],[Exit]]),DATEDIF(Table1[[#This Row],[Hire]],TODAY(),"Y"),DATEDIF(Table1[[#This Row],[Hire]],Table1[[#This Row],[Exit]],"Y"))</f>
        <v>2</v>
      </c>
      <c r="N190" t="str" cm="1">
        <f t="array" ref="N190">_xlfn.IFS(
AND(D190&gt;=26,D190&lt;=30),"26–30",
AND(D190&gt;=31,D190&lt;=35),"31–35",
AND(D190&gt;=36,D190&lt;=40),"36–40",
AND(D190&gt;=41,D190&lt;=45),"41–45",
AND(D190&gt;=46,D190&lt;=50),"46–50",
AND(D190&gt;=51,D190&lt;=60),"51–60")</f>
        <v>26–30</v>
      </c>
    </row>
    <row r="191" spans="1:14" x14ac:dyDescent="0.35">
      <c r="A191" t="s">
        <v>408</v>
      </c>
      <c r="B191" t="s">
        <v>409</v>
      </c>
      <c r="C191" t="s">
        <v>21</v>
      </c>
      <c r="D191">
        <v>41</v>
      </c>
      <c r="E191" t="s">
        <v>22</v>
      </c>
      <c r="F191" t="s">
        <v>16</v>
      </c>
      <c r="G191" t="s">
        <v>34</v>
      </c>
      <c r="H191" s="1">
        <v>45206</v>
      </c>
      <c r="J191">
        <v>386000</v>
      </c>
      <c r="K191">
        <v>0</v>
      </c>
      <c r="L191" t="s">
        <v>24</v>
      </c>
      <c r="M191">
        <f ca="1">IF(ISBLANK(Table1[[#This Row],[Exit]]),DATEDIF(Table1[[#This Row],[Hire]],TODAY(),"Y"),DATEDIF(Table1[[#This Row],[Hire]],Table1[[#This Row],[Exit]],"Y"))</f>
        <v>2</v>
      </c>
      <c r="N191" t="str" cm="1">
        <f t="array" ref="N191">_xlfn.IFS(
AND(D191&gt;=26,D191&lt;=30),"26–30",
AND(D191&gt;=31,D191&lt;=35),"31–35",
AND(D191&gt;=36,D191&lt;=40),"36–40",
AND(D191&gt;=41,D191&lt;=45),"41–45",
AND(D191&gt;=46,D191&lt;=50),"46–50",
AND(D191&gt;=51,D191&lt;=60),"51–60")</f>
        <v>41–45</v>
      </c>
    </row>
    <row r="192" spans="1:14" x14ac:dyDescent="0.35">
      <c r="A192" t="s">
        <v>410</v>
      </c>
      <c r="B192" t="s">
        <v>411</v>
      </c>
      <c r="C192" t="s">
        <v>14</v>
      </c>
      <c r="D192">
        <v>47</v>
      </c>
      <c r="E192" t="s">
        <v>92</v>
      </c>
      <c r="F192" t="s">
        <v>59</v>
      </c>
      <c r="G192" t="s">
        <v>34</v>
      </c>
      <c r="H192" s="1">
        <v>44677</v>
      </c>
      <c r="J192">
        <v>388000</v>
      </c>
      <c r="K192">
        <v>0.37</v>
      </c>
      <c r="L192" t="s">
        <v>24</v>
      </c>
      <c r="M192">
        <f ca="1">IF(ISBLANK(Table1[[#This Row],[Exit]]),DATEDIF(Table1[[#This Row],[Hire]],TODAY(),"Y"),DATEDIF(Table1[[#This Row],[Hire]],Table1[[#This Row],[Exit]],"Y"))</f>
        <v>3</v>
      </c>
      <c r="N192" t="str" cm="1">
        <f t="array" ref="N192">_xlfn.IFS(
AND(D192&gt;=26,D192&lt;=30),"26–30",
AND(D192&gt;=31,D192&lt;=35),"31–35",
AND(D192&gt;=36,D192&lt;=40),"36–40",
AND(D192&gt;=41,D192&lt;=45),"41–45",
AND(D192&gt;=46,D192&lt;=50),"46–50",
AND(D192&gt;=51,D192&lt;=60),"51–60")</f>
        <v>46–50</v>
      </c>
    </row>
    <row r="193" spans="1:14" x14ac:dyDescent="0.35">
      <c r="A193" t="s">
        <v>412</v>
      </c>
      <c r="B193" t="s">
        <v>413</v>
      </c>
      <c r="C193" t="s">
        <v>41</v>
      </c>
      <c r="D193">
        <v>46</v>
      </c>
      <c r="E193" t="s">
        <v>31</v>
      </c>
      <c r="F193" t="s">
        <v>16</v>
      </c>
      <c r="G193" t="s">
        <v>17</v>
      </c>
      <c r="H193" s="1">
        <v>43889</v>
      </c>
      <c r="J193">
        <v>390000</v>
      </c>
      <c r="K193">
        <v>0</v>
      </c>
      <c r="L193" t="s">
        <v>24</v>
      </c>
      <c r="M193">
        <f ca="1">IF(ISBLANK(Table1[[#This Row],[Exit]]),DATEDIF(Table1[[#This Row],[Hire]],TODAY(),"Y"),DATEDIF(Table1[[#This Row],[Hire]],Table1[[#This Row],[Exit]],"Y"))</f>
        <v>5</v>
      </c>
      <c r="N193" t="str" cm="1">
        <f t="array" ref="N193">_xlfn.IFS(
AND(D193&gt;=26,D193&lt;=30),"26–30",
AND(D193&gt;=31,D193&lt;=35),"31–35",
AND(D193&gt;=36,D193&lt;=40),"36–40",
AND(D193&gt;=41,D193&lt;=45),"41–45",
AND(D193&gt;=46,D193&lt;=50),"46–50",
AND(D193&gt;=51,D193&lt;=60),"51–60")</f>
        <v>46–50</v>
      </c>
    </row>
    <row r="194" spans="1:14" x14ac:dyDescent="0.35">
      <c r="A194" t="s">
        <v>414</v>
      </c>
      <c r="B194" t="s">
        <v>415</v>
      </c>
      <c r="C194" t="s">
        <v>41</v>
      </c>
      <c r="D194">
        <v>46</v>
      </c>
      <c r="E194" t="s">
        <v>15</v>
      </c>
      <c r="F194" t="s">
        <v>16</v>
      </c>
      <c r="G194" t="s">
        <v>17</v>
      </c>
      <c r="H194" s="1">
        <v>44116</v>
      </c>
      <c r="J194">
        <v>392000</v>
      </c>
      <c r="K194">
        <v>0</v>
      </c>
      <c r="L194" t="s">
        <v>24</v>
      </c>
      <c r="M194">
        <f ca="1">IF(ISBLANK(Table1[[#This Row],[Exit]]),DATEDIF(Table1[[#This Row],[Hire]],TODAY(),"Y"),DATEDIF(Table1[[#This Row],[Hire]],Table1[[#This Row],[Exit]],"Y"))</f>
        <v>5</v>
      </c>
      <c r="N194" t="str" cm="1">
        <f t="array" ref="N194">_xlfn.IFS(
AND(D194&gt;=26,D194&lt;=30),"26–30",
AND(D194&gt;=31,D194&lt;=35),"31–35",
AND(D194&gt;=36,D194&lt;=40),"36–40",
AND(D194&gt;=41,D194&lt;=45),"41–45",
AND(D194&gt;=46,D194&lt;=50),"46–50",
AND(D194&gt;=51,D194&lt;=60),"51–60")</f>
        <v>46–50</v>
      </c>
    </row>
    <row r="195" spans="1:14" x14ac:dyDescent="0.35">
      <c r="A195" t="s">
        <v>416</v>
      </c>
      <c r="B195" t="s">
        <v>417</v>
      </c>
      <c r="C195" t="s">
        <v>14</v>
      </c>
      <c r="D195">
        <v>45</v>
      </c>
      <c r="E195" t="s">
        <v>22</v>
      </c>
      <c r="F195" t="s">
        <v>16</v>
      </c>
      <c r="G195" t="s">
        <v>23</v>
      </c>
      <c r="H195" s="1">
        <v>44588</v>
      </c>
      <c r="J195">
        <v>394000</v>
      </c>
      <c r="K195">
        <v>0.36</v>
      </c>
      <c r="L195" t="s">
        <v>24</v>
      </c>
      <c r="M195">
        <f ca="1">IF(ISBLANK(Table1[[#This Row],[Exit]]),DATEDIF(Table1[[#This Row],[Hire]],TODAY(),"Y"),DATEDIF(Table1[[#This Row],[Hire]],Table1[[#This Row],[Exit]],"Y"))</f>
        <v>4</v>
      </c>
      <c r="N195" t="str" cm="1">
        <f t="array" ref="N195">_xlfn.IFS(
AND(D195&gt;=26,D195&lt;=30),"26–30",
AND(D195&gt;=31,D195&lt;=35),"31–35",
AND(D195&gt;=36,D195&lt;=40),"36–40",
AND(D195&gt;=41,D195&lt;=45),"41–45",
AND(D195&gt;=46,D195&lt;=50),"46–50",
AND(D195&gt;=51,D195&lt;=60),"51–60")</f>
        <v>41–45</v>
      </c>
    </row>
    <row r="196" spans="1:14" x14ac:dyDescent="0.35">
      <c r="A196" t="s">
        <v>418</v>
      </c>
      <c r="B196" t="s">
        <v>419</v>
      </c>
      <c r="C196" t="s">
        <v>14</v>
      </c>
      <c r="D196">
        <v>26</v>
      </c>
      <c r="E196" t="s">
        <v>27</v>
      </c>
      <c r="F196" t="s">
        <v>28</v>
      </c>
      <c r="G196" t="s">
        <v>17</v>
      </c>
      <c r="H196" s="1">
        <v>45337</v>
      </c>
      <c r="J196">
        <v>396000</v>
      </c>
      <c r="K196">
        <v>0</v>
      </c>
      <c r="L196" t="s">
        <v>24</v>
      </c>
      <c r="M196">
        <f ca="1">IF(ISBLANK(Table1[[#This Row],[Exit]]),DATEDIF(Table1[[#This Row],[Hire]],TODAY(),"Y"),DATEDIF(Table1[[#This Row],[Hire]],Table1[[#This Row],[Exit]],"Y"))</f>
        <v>1</v>
      </c>
      <c r="N196" t="str" cm="1">
        <f t="array" ref="N196">_xlfn.IFS(
AND(D196&gt;=26,D196&lt;=30),"26–30",
AND(D196&gt;=31,D196&lt;=35),"31–35",
AND(D196&gt;=36,D196&lt;=40),"36–40",
AND(D196&gt;=41,D196&lt;=45),"41–45",
AND(D196&gt;=46,D196&lt;=50),"46–50",
AND(D196&gt;=51,D196&lt;=60),"51–60")</f>
        <v>26–30</v>
      </c>
    </row>
    <row r="197" spans="1:14" x14ac:dyDescent="0.35">
      <c r="A197" t="s">
        <v>420</v>
      </c>
      <c r="B197" t="s">
        <v>421</v>
      </c>
      <c r="C197" t="s">
        <v>14</v>
      </c>
      <c r="D197">
        <v>35</v>
      </c>
      <c r="E197" t="s">
        <v>31</v>
      </c>
      <c r="F197" t="s">
        <v>16</v>
      </c>
      <c r="G197" t="s">
        <v>23</v>
      </c>
      <c r="H197" s="1">
        <v>45332</v>
      </c>
      <c r="J197">
        <v>398000</v>
      </c>
      <c r="K197">
        <v>0</v>
      </c>
      <c r="L197" t="s">
        <v>24</v>
      </c>
      <c r="M197">
        <f ca="1">IF(ISBLANK(Table1[[#This Row],[Exit]]),DATEDIF(Table1[[#This Row],[Hire]],TODAY(),"Y"),DATEDIF(Table1[[#This Row],[Hire]],Table1[[#This Row],[Exit]],"Y"))</f>
        <v>1</v>
      </c>
      <c r="N197" t="str" cm="1">
        <f t="array" ref="N197">_xlfn.IFS(
AND(D197&gt;=26,D197&lt;=30),"26–30",
AND(D197&gt;=31,D197&lt;=35),"31–35",
AND(D197&gt;=36,D197&lt;=40),"36–40",
AND(D197&gt;=41,D197&lt;=45),"41–45",
AND(D197&gt;=46,D197&lt;=50),"46–50",
AND(D197&gt;=51,D197&lt;=60),"51–60")</f>
        <v>31–35</v>
      </c>
    </row>
    <row r="198" spans="1:14" x14ac:dyDescent="0.35">
      <c r="A198" t="s">
        <v>422</v>
      </c>
      <c r="B198" t="s">
        <v>423</v>
      </c>
      <c r="C198" t="s">
        <v>21</v>
      </c>
      <c r="D198">
        <v>29</v>
      </c>
      <c r="E198" t="s">
        <v>27</v>
      </c>
      <c r="F198" t="s">
        <v>28</v>
      </c>
      <c r="G198" t="s">
        <v>34</v>
      </c>
      <c r="H198" s="1">
        <v>44183</v>
      </c>
      <c r="J198">
        <v>400000</v>
      </c>
      <c r="K198">
        <v>0</v>
      </c>
      <c r="L198" t="s">
        <v>24</v>
      </c>
      <c r="M198">
        <f ca="1">IF(ISBLANK(Table1[[#This Row],[Exit]]),DATEDIF(Table1[[#This Row],[Hire]],TODAY(),"Y"),DATEDIF(Table1[[#This Row],[Hire]],Table1[[#This Row],[Exit]],"Y"))</f>
        <v>5</v>
      </c>
      <c r="N198" t="str" cm="1">
        <f t="array" ref="N198">_xlfn.IFS(
AND(D198&gt;=26,D198&lt;=30),"26–30",
AND(D198&gt;=31,D198&lt;=35),"31–35",
AND(D198&gt;=36,D198&lt;=40),"36–40",
AND(D198&gt;=41,D198&lt;=45),"41–45",
AND(D198&gt;=46,D198&lt;=50),"46–50",
AND(D198&gt;=51,D198&lt;=60),"51–60")</f>
        <v>26–30</v>
      </c>
    </row>
    <row r="199" spans="1:14" x14ac:dyDescent="0.35">
      <c r="A199" t="s">
        <v>424</v>
      </c>
      <c r="B199" t="s">
        <v>425</v>
      </c>
      <c r="C199" t="s">
        <v>14</v>
      </c>
      <c r="D199">
        <v>35</v>
      </c>
      <c r="E199" t="s">
        <v>15</v>
      </c>
      <c r="F199" t="s">
        <v>16</v>
      </c>
      <c r="G199" t="s">
        <v>23</v>
      </c>
      <c r="H199" s="1">
        <v>43837</v>
      </c>
      <c r="J199">
        <v>402000</v>
      </c>
      <c r="K199">
        <v>0</v>
      </c>
      <c r="L199" t="s">
        <v>24</v>
      </c>
      <c r="M199">
        <f ca="1">IF(ISBLANK(Table1[[#This Row],[Exit]]),DATEDIF(Table1[[#This Row],[Hire]],TODAY(),"Y"),DATEDIF(Table1[[#This Row],[Hire]],Table1[[#This Row],[Exit]],"Y"))</f>
        <v>6</v>
      </c>
      <c r="N199" t="str" cm="1">
        <f t="array" ref="N199">_xlfn.IFS(
AND(D199&gt;=26,D199&lt;=30),"26–30",
AND(D199&gt;=31,D199&lt;=35),"31–35",
AND(D199&gt;=36,D199&lt;=40),"36–40",
AND(D199&gt;=41,D199&lt;=45),"41–45",
AND(D199&gt;=46,D199&lt;=50),"46–50",
AND(D199&gt;=51,D199&lt;=60),"51–60")</f>
        <v>31–35</v>
      </c>
    </row>
    <row r="200" spans="1:14" x14ac:dyDescent="0.35">
      <c r="A200" t="s">
        <v>426</v>
      </c>
      <c r="B200" t="s">
        <v>427</v>
      </c>
      <c r="C200" t="s">
        <v>21</v>
      </c>
      <c r="D200">
        <v>27</v>
      </c>
      <c r="E200" t="s">
        <v>15</v>
      </c>
      <c r="F200" t="s">
        <v>16</v>
      </c>
      <c r="G200" t="s">
        <v>34</v>
      </c>
      <c r="H200" s="1">
        <v>45206</v>
      </c>
      <c r="J200">
        <v>404000</v>
      </c>
      <c r="K200">
        <v>0</v>
      </c>
      <c r="L200" t="s">
        <v>24</v>
      </c>
      <c r="M200">
        <f ca="1">IF(ISBLANK(Table1[[#This Row],[Exit]]),DATEDIF(Table1[[#This Row],[Hire]],TODAY(),"Y"),DATEDIF(Table1[[#This Row],[Hire]],Table1[[#This Row],[Exit]],"Y"))</f>
        <v>2</v>
      </c>
      <c r="N200" t="str" cm="1">
        <f t="array" ref="N200">_xlfn.IFS(
AND(D200&gt;=26,D200&lt;=30),"26–30",
AND(D200&gt;=31,D200&lt;=35),"31–35",
AND(D200&gt;=36,D200&lt;=40),"36–40",
AND(D200&gt;=41,D200&lt;=45),"41–45",
AND(D200&gt;=46,D200&lt;=50),"46–50",
AND(D200&gt;=51,D200&lt;=60),"51–60")</f>
        <v>26–30</v>
      </c>
    </row>
    <row r="201" spans="1:14" x14ac:dyDescent="0.35">
      <c r="A201" t="s">
        <v>428</v>
      </c>
      <c r="B201" t="s">
        <v>429</v>
      </c>
      <c r="C201" t="s">
        <v>14</v>
      </c>
      <c r="D201">
        <v>26</v>
      </c>
      <c r="E201" t="s">
        <v>42</v>
      </c>
      <c r="F201" t="s">
        <v>43</v>
      </c>
      <c r="G201" t="s">
        <v>34</v>
      </c>
      <c r="H201" s="1">
        <v>44487</v>
      </c>
      <c r="J201">
        <v>406000</v>
      </c>
      <c r="K201">
        <v>0.19</v>
      </c>
      <c r="L201" t="s">
        <v>24</v>
      </c>
      <c r="M201">
        <f ca="1">IF(ISBLANK(Table1[[#This Row],[Exit]]),DATEDIF(Table1[[#This Row],[Hire]],TODAY(),"Y"),DATEDIF(Table1[[#This Row],[Hire]],Table1[[#This Row],[Exit]],"Y"))</f>
        <v>4</v>
      </c>
      <c r="N201" t="str" cm="1">
        <f t="array" ref="N201">_xlfn.IFS(
AND(D201&gt;=26,D201&lt;=30),"26–30",
AND(D201&gt;=31,D201&lt;=35),"31–35",
AND(D201&gt;=36,D201&lt;=40),"36–40",
AND(D201&gt;=41,D201&lt;=45),"41–45",
AND(D201&gt;=46,D201&lt;=50),"46–50",
AND(D201&gt;=51,D201&lt;=60),"51–60")</f>
        <v>26–30</v>
      </c>
    </row>
    <row r="202" spans="1:14" x14ac:dyDescent="0.35">
      <c r="A202" t="s">
        <v>430</v>
      </c>
      <c r="B202" t="s">
        <v>431</v>
      </c>
      <c r="C202" t="s">
        <v>21</v>
      </c>
      <c r="D202">
        <v>27</v>
      </c>
      <c r="E202" t="s">
        <v>42</v>
      </c>
      <c r="F202" t="s">
        <v>46</v>
      </c>
      <c r="G202" t="s">
        <v>23</v>
      </c>
      <c r="H202" s="1">
        <v>44791</v>
      </c>
      <c r="I202" s="1">
        <v>45306</v>
      </c>
      <c r="J202">
        <v>408000</v>
      </c>
      <c r="K202">
        <v>0.15</v>
      </c>
      <c r="L202" t="s">
        <v>18</v>
      </c>
      <c r="M202">
        <f ca="1">IF(ISBLANK(Table1[[#This Row],[Exit]]),DATEDIF(Table1[[#This Row],[Hire]],TODAY(),"Y"),DATEDIF(Table1[[#This Row],[Hire]],Table1[[#This Row],[Exit]],"Y"))</f>
        <v>1</v>
      </c>
      <c r="N202" t="str" cm="1">
        <f t="array" ref="N202">_xlfn.IFS(
AND(D202&gt;=26,D202&lt;=30),"26–30",
AND(D202&gt;=31,D202&lt;=35),"31–35",
AND(D202&gt;=36,D202&lt;=40),"36–40",
AND(D202&gt;=41,D202&lt;=45),"41–45",
AND(D202&gt;=46,D202&lt;=50),"46–50",
AND(D202&gt;=51,D202&lt;=60),"51–60")</f>
        <v>26–30</v>
      </c>
    </row>
    <row r="203" spans="1:14" x14ac:dyDescent="0.35">
      <c r="A203" t="s">
        <v>432</v>
      </c>
      <c r="B203" t="s">
        <v>433</v>
      </c>
      <c r="C203" t="s">
        <v>21</v>
      </c>
      <c r="D203">
        <v>30</v>
      </c>
      <c r="E203" t="s">
        <v>42</v>
      </c>
      <c r="F203" t="s">
        <v>49</v>
      </c>
      <c r="G203" t="s">
        <v>17</v>
      </c>
      <c r="H203" s="1">
        <v>45440</v>
      </c>
      <c r="J203">
        <v>410000</v>
      </c>
      <c r="K203">
        <v>0</v>
      </c>
      <c r="L203" t="s">
        <v>24</v>
      </c>
      <c r="M203">
        <f ca="1">IF(ISBLANK(Table1[[#This Row],[Exit]]),DATEDIF(Table1[[#This Row],[Hire]],TODAY(),"Y"),DATEDIF(Table1[[#This Row],[Hire]],Table1[[#This Row],[Exit]],"Y"))</f>
        <v>1</v>
      </c>
      <c r="N203" t="str" cm="1">
        <f t="array" ref="N203">_xlfn.IFS(
AND(D203&gt;=26,D203&lt;=30),"26–30",
AND(D203&gt;=31,D203&lt;=35),"31–35",
AND(D203&gt;=36,D203&lt;=40),"36–40",
AND(D203&gt;=41,D203&lt;=45),"41–45",
AND(D203&gt;=46,D203&lt;=50),"46–50",
AND(D203&gt;=51,D203&lt;=60),"51–60")</f>
        <v>26–30</v>
      </c>
    </row>
    <row r="204" spans="1:14" x14ac:dyDescent="0.35">
      <c r="A204" t="s">
        <v>434</v>
      </c>
      <c r="B204" t="s">
        <v>435</v>
      </c>
      <c r="C204" t="s">
        <v>41</v>
      </c>
      <c r="D204">
        <v>46</v>
      </c>
      <c r="E204" t="s">
        <v>52</v>
      </c>
      <c r="F204" t="s">
        <v>16</v>
      </c>
      <c r="G204" t="s">
        <v>53</v>
      </c>
      <c r="H204" s="1">
        <v>44811</v>
      </c>
      <c r="J204">
        <v>412000</v>
      </c>
      <c r="K204">
        <v>0.09</v>
      </c>
      <c r="L204" t="s">
        <v>24</v>
      </c>
      <c r="M204">
        <f ca="1">IF(ISBLANK(Table1[[#This Row],[Exit]]),DATEDIF(Table1[[#This Row],[Hire]],TODAY(),"Y"),DATEDIF(Table1[[#This Row],[Hire]],Table1[[#This Row],[Exit]],"Y"))</f>
        <v>3</v>
      </c>
      <c r="N204" t="str" cm="1">
        <f t="array" ref="N204">_xlfn.IFS(
AND(D204&gt;=26,D204&lt;=30),"26–30",
AND(D204&gt;=31,D204&lt;=35),"31–35",
AND(D204&gt;=36,D204&lt;=40),"36–40",
AND(D204&gt;=41,D204&lt;=45),"41–45",
AND(D204&gt;=46,D204&lt;=50),"46–50",
AND(D204&gt;=51,D204&lt;=60),"51–60")</f>
        <v>46–50</v>
      </c>
    </row>
    <row r="205" spans="1:14" x14ac:dyDescent="0.35">
      <c r="A205" t="s">
        <v>436</v>
      </c>
      <c r="B205" t="s">
        <v>437</v>
      </c>
      <c r="C205" t="s">
        <v>14</v>
      </c>
      <c r="D205">
        <v>45</v>
      </c>
      <c r="E205" t="s">
        <v>42</v>
      </c>
      <c r="F205" t="s">
        <v>46</v>
      </c>
      <c r="G205" t="s">
        <v>53</v>
      </c>
      <c r="H205" s="1">
        <v>45294</v>
      </c>
      <c r="J205">
        <v>414000</v>
      </c>
      <c r="K205">
        <v>0</v>
      </c>
      <c r="L205" t="s">
        <v>24</v>
      </c>
      <c r="M205">
        <f ca="1">IF(ISBLANK(Table1[[#This Row],[Exit]]),DATEDIF(Table1[[#This Row],[Hire]],TODAY(),"Y"),DATEDIF(Table1[[#This Row],[Hire]],Table1[[#This Row],[Exit]],"Y"))</f>
        <v>2</v>
      </c>
      <c r="N205" t="str" cm="1">
        <f t="array" ref="N205">_xlfn.IFS(
AND(D205&gt;=26,D205&lt;=30),"26–30",
AND(D205&gt;=31,D205&lt;=35),"31–35",
AND(D205&gt;=36,D205&lt;=40),"36–40",
AND(D205&gt;=41,D205&lt;=45),"41–45",
AND(D205&gt;=46,D205&lt;=50),"46–50",
AND(D205&gt;=51,D205&lt;=60),"51–60")</f>
        <v>41–45</v>
      </c>
    </row>
    <row r="206" spans="1:14" x14ac:dyDescent="0.35">
      <c r="A206" t="s">
        <v>438</v>
      </c>
      <c r="B206" t="s">
        <v>439</v>
      </c>
      <c r="C206" t="s">
        <v>41</v>
      </c>
      <c r="D206">
        <v>46</v>
      </c>
      <c r="E206" t="s">
        <v>58</v>
      </c>
      <c r="F206" t="s">
        <v>59</v>
      </c>
      <c r="G206" t="s">
        <v>34</v>
      </c>
      <c r="H206" s="1">
        <v>45074</v>
      </c>
      <c r="J206">
        <v>416000</v>
      </c>
      <c r="K206">
        <v>0</v>
      </c>
      <c r="L206" t="s">
        <v>24</v>
      </c>
      <c r="M206">
        <f ca="1">IF(ISBLANK(Table1[[#This Row],[Exit]]),DATEDIF(Table1[[#This Row],[Hire]],TODAY(),"Y"),DATEDIF(Table1[[#This Row],[Hire]],Table1[[#This Row],[Exit]],"Y"))</f>
        <v>2</v>
      </c>
      <c r="N206" t="str" cm="1">
        <f t="array" ref="N206">_xlfn.IFS(
AND(D206&gt;=26,D206&lt;=30),"26–30",
AND(D206&gt;=31,D206&lt;=35),"31–35",
AND(D206&gt;=36,D206&lt;=40),"36–40",
AND(D206&gt;=41,D206&lt;=45),"41–45",
AND(D206&gt;=46,D206&lt;=50),"46–50",
AND(D206&gt;=51,D206&lt;=60),"51–60")</f>
        <v>46–50</v>
      </c>
    </row>
    <row r="207" spans="1:14" x14ac:dyDescent="0.35">
      <c r="A207" t="s">
        <v>440</v>
      </c>
      <c r="B207" t="s">
        <v>441</v>
      </c>
      <c r="C207" t="s">
        <v>14</v>
      </c>
      <c r="D207">
        <v>38</v>
      </c>
      <c r="E207" t="s">
        <v>52</v>
      </c>
      <c r="F207" t="s">
        <v>16</v>
      </c>
      <c r="G207" t="s">
        <v>23</v>
      </c>
      <c r="H207" s="1">
        <v>45245</v>
      </c>
      <c r="J207">
        <v>418000</v>
      </c>
      <c r="K207">
        <v>0.4</v>
      </c>
      <c r="L207" t="s">
        <v>24</v>
      </c>
      <c r="M207">
        <f ca="1">IF(ISBLANK(Table1[[#This Row],[Exit]]),DATEDIF(Table1[[#This Row],[Hire]],TODAY(),"Y"),DATEDIF(Table1[[#This Row],[Hire]],Table1[[#This Row],[Exit]],"Y"))</f>
        <v>2</v>
      </c>
      <c r="N207" t="str" cm="1">
        <f t="array" ref="N207">_xlfn.IFS(
AND(D207&gt;=26,D207&lt;=30),"26–30",
AND(D207&gt;=31,D207&lt;=35),"31–35",
AND(D207&gt;=36,D207&lt;=40),"36–40",
AND(D207&gt;=41,D207&lt;=45),"41–45",
AND(D207&gt;=46,D207&lt;=50),"46–50",
AND(D207&gt;=51,D207&lt;=60),"51–60")</f>
        <v>36–40</v>
      </c>
    </row>
    <row r="208" spans="1:14" x14ac:dyDescent="0.35">
      <c r="A208" t="s">
        <v>442</v>
      </c>
      <c r="B208" t="s">
        <v>443</v>
      </c>
      <c r="C208" t="s">
        <v>14</v>
      </c>
      <c r="D208">
        <v>45</v>
      </c>
      <c r="E208" t="s">
        <v>52</v>
      </c>
      <c r="F208" t="s">
        <v>16</v>
      </c>
      <c r="G208" t="s">
        <v>34</v>
      </c>
      <c r="H208" s="1">
        <v>43851</v>
      </c>
      <c r="J208">
        <v>420000</v>
      </c>
      <c r="K208">
        <v>0.09</v>
      </c>
      <c r="L208" t="s">
        <v>24</v>
      </c>
      <c r="M208">
        <f ca="1">IF(ISBLANK(Table1[[#This Row],[Exit]]),DATEDIF(Table1[[#This Row],[Hire]],TODAY(),"Y"),DATEDIF(Table1[[#This Row],[Hire]],Table1[[#This Row],[Exit]],"Y"))</f>
        <v>6</v>
      </c>
      <c r="N208" t="str" cm="1">
        <f t="array" ref="N208">_xlfn.IFS(
AND(D208&gt;=26,D208&lt;=30),"26–30",
AND(D208&gt;=31,D208&lt;=35),"31–35",
AND(D208&gt;=36,D208&lt;=40),"36–40",
AND(D208&gt;=41,D208&lt;=45),"41–45",
AND(D208&gt;=46,D208&lt;=50),"46–50",
AND(D208&gt;=51,D208&lt;=60),"51–60")</f>
        <v>41–45</v>
      </c>
    </row>
    <row r="209" spans="1:14" x14ac:dyDescent="0.35">
      <c r="A209" t="s">
        <v>444</v>
      </c>
      <c r="B209" t="s">
        <v>445</v>
      </c>
      <c r="C209" t="s">
        <v>14</v>
      </c>
      <c r="D209">
        <v>51</v>
      </c>
      <c r="E209" t="s">
        <v>66</v>
      </c>
      <c r="F209" t="s">
        <v>16</v>
      </c>
      <c r="G209" t="s">
        <v>17</v>
      </c>
      <c r="H209" s="1">
        <v>45206</v>
      </c>
      <c r="J209">
        <v>422000</v>
      </c>
      <c r="K209">
        <v>0.31</v>
      </c>
      <c r="L209" t="s">
        <v>24</v>
      </c>
      <c r="M209">
        <f ca="1">IF(ISBLANK(Table1[[#This Row],[Exit]]),DATEDIF(Table1[[#This Row],[Hire]],TODAY(),"Y"),DATEDIF(Table1[[#This Row],[Hire]],Table1[[#This Row],[Exit]],"Y"))</f>
        <v>2</v>
      </c>
      <c r="N209" t="str" cm="1">
        <f t="array" ref="N209">_xlfn.IFS(
AND(D209&gt;=26,D209&lt;=30),"26–30",
AND(D209&gt;=31,D209&lt;=35),"31–35",
AND(D209&gt;=36,D209&lt;=40),"36–40",
AND(D209&gt;=41,D209&lt;=45),"41–45",
AND(D209&gt;=46,D209&lt;=50),"46–50",
AND(D209&gt;=51,D209&lt;=60),"51–60")</f>
        <v>51–60</v>
      </c>
    </row>
    <row r="210" spans="1:14" x14ac:dyDescent="0.35">
      <c r="A210" t="s">
        <v>446</v>
      </c>
      <c r="B210" t="s">
        <v>447</v>
      </c>
      <c r="C210" t="s">
        <v>14</v>
      </c>
      <c r="D210">
        <v>56</v>
      </c>
      <c r="E210" t="s">
        <v>58</v>
      </c>
      <c r="F210" t="s">
        <v>59</v>
      </c>
      <c r="G210" t="s">
        <v>23</v>
      </c>
      <c r="H210" s="1">
        <v>45401</v>
      </c>
      <c r="J210">
        <v>424000</v>
      </c>
      <c r="K210">
        <v>0</v>
      </c>
      <c r="L210" t="s">
        <v>24</v>
      </c>
      <c r="M210">
        <f ca="1">IF(ISBLANK(Table1[[#This Row],[Exit]]),DATEDIF(Table1[[#This Row],[Hire]],TODAY(),"Y"),DATEDIF(Table1[[#This Row],[Hire]],Table1[[#This Row],[Exit]],"Y"))</f>
        <v>1</v>
      </c>
      <c r="N210" t="str" cm="1">
        <f t="array" ref="N210">_xlfn.IFS(
AND(D210&gt;=26,D210&lt;=30),"26–30",
AND(D210&gt;=31,D210&lt;=35),"31–35",
AND(D210&gt;=36,D210&lt;=40),"36–40",
AND(D210&gt;=41,D210&lt;=45),"41–45",
AND(D210&gt;=46,D210&lt;=50),"46–50",
AND(D210&gt;=51,D210&lt;=60),"51–60")</f>
        <v>51–60</v>
      </c>
    </row>
    <row r="211" spans="1:14" x14ac:dyDescent="0.35">
      <c r="A211" t="s">
        <v>448</v>
      </c>
      <c r="B211" t="s">
        <v>449</v>
      </c>
      <c r="C211" t="s">
        <v>14</v>
      </c>
      <c r="D211">
        <v>53</v>
      </c>
      <c r="E211" t="s">
        <v>66</v>
      </c>
      <c r="F211" t="s">
        <v>16</v>
      </c>
      <c r="G211" t="s">
        <v>34</v>
      </c>
      <c r="H211" s="1">
        <v>44083</v>
      </c>
      <c r="I211" s="1">
        <v>45052</v>
      </c>
      <c r="J211">
        <v>426000</v>
      </c>
      <c r="K211">
        <v>0</v>
      </c>
      <c r="L211" t="s">
        <v>18</v>
      </c>
      <c r="M211">
        <f ca="1">IF(ISBLANK(Table1[[#This Row],[Exit]]),DATEDIF(Table1[[#This Row],[Hire]],TODAY(),"Y"),DATEDIF(Table1[[#This Row],[Hire]],Table1[[#This Row],[Exit]],"Y"))</f>
        <v>2</v>
      </c>
      <c r="N211" t="str" cm="1">
        <f t="array" ref="N211">_xlfn.IFS(
AND(D211&gt;=26,D211&lt;=30),"26–30",
AND(D211&gt;=31,D211&lt;=35),"31–35",
AND(D211&gt;=36,D211&lt;=40),"36–40",
AND(D211&gt;=41,D211&lt;=45),"41–45",
AND(D211&gt;=46,D211&lt;=50),"46–50",
AND(D211&gt;=51,D211&lt;=60),"51–60")</f>
        <v>51–60</v>
      </c>
    </row>
    <row r="212" spans="1:14" x14ac:dyDescent="0.35">
      <c r="A212" t="s">
        <v>450</v>
      </c>
      <c r="B212" t="s">
        <v>451</v>
      </c>
      <c r="C212" t="s">
        <v>21</v>
      </c>
      <c r="D212">
        <v>47</v>
      </c>
      <c r="E212" t="s">
        <v>66</v>
      </c>
      <c r="F212" t="s">
        <v>16</v>
      </c>
      <c r="G212" t="s">
        <v>53</v>
      </c>
      <c r="H212" s="1">
        <v>45233</v>
      </c>
      <c r="J212">
        <v>428000</v>
      </c>
      <c r="K212">
        <v>0</v>
      </c>
      <c r="L212" t="s">
        <v>24</v>
      </c>
      <c r="M212">
        <f ca="1">IF(ISBLANK(Table1[[#This Row],[Exit]]),DATEDIF(Table1[[#This Row],[Hire]],TODAY(),"Y"),DATEDIF(Table1[[#This Row],[Hire]],Table1[[#This Row],[Exit]],"Y"))</f>
        <v>2</v>
      </c>
      <c r="N212" t="str" cm="1">
        <f t="array" ref="N212">_xlfn.IFS(
AND(D212&gt;=26,D212&lt;=30),"26–30",
AND(D212&gt;=31,D212&lt;=35),"31–35",
AND(D212&gt;=36,D212&lt;=40),"36–40",
AND(D212&gt;=41,D212&lt;=45),"41–45",
AND(D212&gt;=46,D212&lt;=50),"46–50",
AND(D212&gt;=51,D212&lt;=60),"51–60")</f>
        <v>46–50</v>
      </c>
    </row>
    <row r="213" spans="1:14" x14ac:dyDescent="0.35">
      <c r="A213" t="s">
        <v>452</v>
      </c>
      <c r="B213" t="s">
        <v>453</v>
      </c>
      <c r="C213" t="s">
        <v>21</v>
      </c>
      <c r="D213">
        <v>36</v>
      </c>
      <c r="E213" t="s">
        <v>58</v>
      </c>
      <c r="F213" t="s">
        <v>59</v>
      </c>
      <c r="G213" t="s">
        <v>53</v>
      </c>
      <c r="H213" s="1">
        <v>44316</v>
      </c>
      <c r="I213" s="1">
        <v>45124</v>
      </c>
      <c r="J213">
        <v>430000</v>
      </c>
      <c r="K213">
        <v>0.14000000000000001</v>
      </c>
      <c r="L213" t="s">
        <v>18</v>
      </c>
      <c r="M213">
        <f ca="1">IF(ISBLANK(Table1[[#This Row],[Exit]]),DATEDIF(Table1[[#This Row],[Hire]],TODAY(),"Y"),DATEDIF(Table1[[#This Row],[Hire]],Table1[[#This Row],[Exit]],"Y"))</f>
        <v>2</v>
      </c>
      <c r="N213" t="str" cm="1">
        <f t="array" ref="N213">_xlfn.IFS(
AND(D213&gt;=26,D213&lt;=30),"26–30",
AND(D213&gt;=31,D213&lt;=35),"31–35",
AND(D213&gt;=36,D213&lt;=40),"36–40",
AND(D213&gt;=41,D213&lt;=45),"41–45",
AND(D213&gt;=46,D213&lt;=50),"46–50",
AND(D213&gt;=51,D213&lt;=60),"51–60")</f>
        <v>36–40</v>
      </c>
    </row>
    <row r="214" spans="1:14" x14ac:dyDescent="0.35">
      <c r="A214" t="s">
        <v>454</v>
      </c>
      <c r="B214" t="s">
        <v>455</v>
      </c>
      <c r="C214" t="s">
        <v>14</v>
      </c>
      <c r="D214">
        <v>41</v>
      </c>
      <c r="E214" t="s">
        <v>15</v>
      </c>
      <c r="F214" t="s">
        <v>16</v>
      </c>
      <c r="G214" t="s">
        <v>53</v>
      </c>
      <c r="H214" s="1">
        <v>43887</v>
      </c>
      <c r="J214">
        <v>432000</v>
      </c>
      <c r="K214">
        <v>0</v>
      </c>
      <c r="L214" t="s">
        <v>24</v>
      </c>
      <c r="M214">
        <f ca="1">IF(ISBLANK(Table1[[#This Row],[Exit]]),DATEDIF(Table1[[#This Row],[Hire]],TODAY(),"Y"),DATEDIF(Table1[[#This Row],[Hire]],Table1[[#This Row],[Exit]],"Y"))</f>
        <v>5</v>
      </c>
      <c r="N214" t="str" cm="1">
        <f t="array" ref="N214">_xlfn.IFS(
AND(D214&gt;=26,D214&lt;=30),"26–30",
AND(D214&gt;=31,D214&lt;=35),"31–35",
AND(D214&gt;=36,D214&lt;=40),"36–40",
AND(D214&gt;=41,D214&lt;=45),"41–45",
AND(D214&gt;=46,D214&lt;=50),"46–50",
AND(D214&gt;=51,D214&lt;=60),"51–60")</f>
        <v>41–45</v>
      </c>
    </row>
    <row r="215" spans="1:14" x14ac:dyDescent="0.35">
      <c r="A215" t="s">
        <v>456</v>
      </c>
      <c r="B215" t="s">
        <v>457</v>
      </c>
      <c r="C215" t="s">
        <v>41</v>
      </c>
      <c r="D215">
        <v>30</v>
      </c>
      <c r="E215" t="s">
        <v>22</v>
      </c>
      <c r="F215" t="s">
        <v>16</v>
      </c>
      <c r="G215" t="s">
        <v>53</v>
      </c>
      <c r="H215" s="1">
        <v>44815</v>
      </c>
      <c r="J215">
        <v>434000</v>
      </c>
      <c r="K215">
        <v>0.15</v>
      </c>
      <c r="L215" t="s">
        <v>24</v>
      </c>
      <c r="M215">
        <f ca="1">IF(ISBLANK(Table1[[#This Row],[Exit]]),DATEDIF(Table1[[#This Row],[Hire]],TODAY(),"Y"),DATEDIF(Table1[[#This Row],[Hire]],Table1[[#This Row],[Exit]],"Y"))</f>
        <v>3</v>
      </c>
      <c r="N215" t="str" cm="1">
        <f t="array" ref="N215">_xlfn.IFS(
AND(D215&gt;=26,D215&lt;=30),"26–30",
AND(D215&gt;=31,D215&lt;=35),"31–35",
AND(D215&gt;=36,D215&lt;=40),"36–40",
AND(D215&gt;=41,D215&lt;=45),"41–45",
AND(D215&gt;=46,D215&lt;=50),"46–50",
AND(D215&gt;=51,D215&lt;=60),"51–60")</f>
        <v>26–30</v>
      </c>
    </row>
    <row r="216" spans="1:14" x14ac:dyDescent="0.35">
      <c r="A216" t="s">
        <v>458</v>
      </c>
      <c r="B216" t="s">
        <v>459</v>
      </c>
      <c r="C216" t="s">
        <v>14</v>
      </c>
      <c r="D216">
        <v>30</v>
      </c>
      <c r="E216" t="s">
        <v>81</v>
      </c>
      <c r="F216" t="s">
        <v>43</v>
      </c>
      <c r="G216" t="s">
        <v>53</v>
      </c>
      <c r="H216" s="1">
        <v>45430</v>
      </c>
      <c r="J216">
        <v>436000</v>
      </c>
      <c r="K216">
        <v>0</v>
      </c>
      <c r="L216" t="s">
        <v>24</v>
      </c>
      <c r="M216">
        <f ca="1">IF(ISBLANK(Table1[[#This Row],[Exit]]),DATEDIF(Table1[[#This Row],[Hire]],TODAY(),"Y"),DATEDIF(Table1[[#This Row],[Hire]],Table1[[#This Row],[Exit]],"Y"))</f>
        <v>1</v>
      </c>
      <c r="N216" t="str" cm="1">
        <f t="array" ref="N216">_xlfn.IFS(
AND(D216&gt;=26,D216&lt;=30),"26–30",
AND(D216&gt;=31,D216&lt;=35),"31–35",
AND(D216&gt;=36,D216&lt;=40),"36–40",
AND(D216&gt;=41,D216&lt;=45),"41–45",
AND(D216&gt;=46,D216&lt;=50),"46–50",
AND(D216&gt;=51,D216&lt;=60),"51–60")</f>
        <v>26–30</v>
      </c>
    </row>
    <row r="217" spans="1:14" x14ac:dyDescent="0.35">
      <c r="A217" t="s">
        <v>460</v>
      </c>
      <c r="B217" t="s">
        <v>461</v>
      </c>
      <c r="C217" t="s">
        <v>21</v>
      </c>
      <c r="D217">
        <v>38</v>
      </c>
      <c r="E217" t="s">
        <v>52</v>
      </c>
      <c r="F217" t="s">
        <v>16</v>
      </c>
      <c r="G217" t="s">
        <v>17</v>
      </c>
      <c r="H217" s="1">
        <v>44509</v>
      </c>
      <c r="I217" s="1">
        <v>45102</v>
      </c>
      <c r="J217">
        <v>438000</v>
      </c>
      <c r="K217">
        <v>0.22</v>
      </c>
      <c r="L217" t="s">
        <v>18</v>
      </c>
      <c r="M217">
        <f ca="1">IF(ISBLANK(Table1[[#This Row],[Exit]]),DATEDIF(Table1[[#This Row],[Hire]],TODAY(),"Y"),DATEDIF(Table1[[#This Row],[Hire]],Table1[[#This Row],[Exit]],"Y"))</f>
        <v>1</v>
      </c>
      <c r="N217" t="str" cm="1">
        <f t="array" ref="N217">_xlfn.IFS(
AND(D217&gt;=26,D217&lt;=30),"26–30",
AND(D217&gt;=31,D217&lt;=35),"31–35",
AND(D217&gt;=36,D217&lt;=40),"36–40",
AND(D217&gt;=41,D217&lt;=45),"41–45",
AND(D217&gt;=46,D217&lt;=50),"46–50",
AND(D217&gt;=51,D217&lt;=60),"51–60")</f>
        <v>36–40</v>
      </c>
    </row>
    <row r="218" spans="1:14" x14ac:dyDescent="0.35">
      <c r="A218" t="s">
        <v>462</v>
      </c>
      <c r="B218" t="s">
        <v>463</v>
      </c>
      <c r="C218" t="s">
        <v>41</v>
      </c>
      <c r="D218">
        <v>31</v>
      </c>
      <c r="E218" t="s">
        <v>66</v>
      </c>
      <c r="F218" t="s">
        <v>16</v>
      </c>
      <c r="G218" t="s">
        <v>23</v>
      </c>
      <c r="H218" s="1">
        <v>43963</v>
      </c>
      <c r="J218">
        <v>440000</v>
      </c>
      <c r="K218">
        <v>0.3</v>
      </c>
      <c r="L218" t="s">
        <v>24</v>
      </c>
      <c r="M218">
        <f ca="1">IF(ISBLANK(Table1[[#This Row],[Exit]]),DATEDIF(Table1[[#This Row],[Hire]],TODAY(),"Y"),DATEDIF(Table1[[#This Row],[Hire]],Table1[[#This Row],[Exit]],"Y"))</f>
        <v>5</v>
      </c>
      <c r="N218" t="str" cm="1">
        <f t="array" ref="N218">_xlfn.IFS(
AND(D218&gt;=26,D218&lt;=30),"26–30",
AND(D218&gt;=31,D218&lt;=35),"31–35",
AND(D218&gt;=36,D218&lt;=40),"36–40",
AND(D218&gt;=41,D218&lt;=45),"41–45",
AND(D218&gt;=46,D218&lt;=50),"46–50",
AND(D218&gt;=51,D218&lt;=60),"51–60")</f>
        <v>31–35</v>
      </c>
    </row>
    <row r="219" spans="1:14" x14ac:dyDescent="0.35">
      <c r="A219" t="s">
        <v>464</v>
      </c>
      <c r="B219" t="s">
        <v>465</v>
      </c>
      <c r="C219" t="s">
        <v>14</v>
      </c>
      <c r="D219">
        <v>39</v>
      </c>
      <c r="E219" t="s">
        <v>31</v>
      </c>
      <c r="F219" t="s">
        <v>16</v>
      </c>
      <c r="G219" t="s">
        <v>53</v>
      </c>
      <c r="H219" s="1">
        <v>44815</v>
      </c>
      <c r="J219">
        <v>442000</v>
      </c>
      <c r="K219">
        <v>7.0000000000000007E-2</v>
      </c>
      <c r="L219" t="s">
        <v>24</v>
      </c>
      <c r="M219">
        <f ca="1">IF(ISBLANK(Table1[[#This Row],[Exit]]),DATEDIF(Table1[[#This Row],[Hire]],TODAY(),"Y"),DATEDIF(Table1[[#This Row],[Hire]],Table1[[#This Row],[Exit]],"Y"))</f>
        <v>3</v>
      </c>
      <c r="N219" t="str" cm="1">
        <f t="array" ref="N219">_xlfn.IFS(
AND(D219&gt;=26,D219&lt;=30),"26–30",
AND(D219&gt;=31,D219&lt;=35),"31–35",
AND(D219&gt;=36,D219&lt;=40),"36–40",
AND(D219&gt;=41,D219&lt;=45),"41–45",
AND(D219&gt;=46,D219&lt;=50),"46–50",
AND(D219&gt;=51,D219&lt;=60),"51–60")</f>
        <v>36–40</v>
      </c>
    </row>
    <row r="220" spans="1:14" x14ac:dyDescent="0.35">
      <c r="A220" t="s">
        <v>466</v>
      </c>
      <c r="B220" t="s">
        <v>467</v>
      </c>
      <c r="C220" t="s">
        <v>21</v>
      </c>
      <c r="D220">
        <v>31</v>
      </c>
      <c r="E220" t="s">
        <v>81</v>
      </c>
      <c r="F220" t="s">
        <v>49</v>
      </c>
      <c r="G220" t="s">
        <v>34</v>
      </c>
      <c r="H220" s="1">
        <v>44857</v>
      </c>
      <c r="J220">
        <v>444000</v>
      </c>
      <c r="K220">
        <v>0.11</v>
      </c>
      <c r="L220" t="s">
        <v>24</v>
      </c>
      <c r="M220">
        <f ca="1">IF(ISBLANK(Table1[[#This Row],[Exit]]),DATEDIF(Table1[[#This Row],[Hire]],TODAY(),"Y"),DATEDIF(Table1[[#This Row],[Hire]],Table1[[#This Row],[Exit]],"Y"))</f>
        <v>3</v>
      </c>
      <c r="N220" t="str" cm="1">
        <f t="array" ref="N220">_xlfn.IFS(
AND(D220&gt;=26,D220&lt;=30),"26–30",
AND(D220&gt;=31,D220&lt;=35),"31–35",
AND(D220&gt;=36,D220&lt;=40),"36–40",
AND(D220&gt;=41,D220&lt;=45),"41–45",
AND(D220&gt;=46,D220&lt;=50),"46–50",
AND(D220&gt;=51,D220&lt;=60),"51–60")</f>
        <v>31–35</v>
      </c>
    </row>
    <row r="221" spans="1:14" x14ac:dyDescent="0.35">
      <c r="A221" t="s">
        <v>468</v>
      </c>
      <c r="B221" t="s">
        <v>469</v>
      </c>
      <c r="C221" t="s">
        <v>14</v>
      </c>
      <c r="D221">
        <v>45</v>
      </c>
      <c r="E221" t="s">
        <v>92</v>
      </c>
      <c r="F221" t="s">
        <v>59</v>
      </c>
      <c r="G221" t="s">
        <v>53</v>
      </c>
      <c r="H221" s="1">
        <v>45527</v>
      </c>
      <c r="J221">
        <v>446000</v>
      </c>
      <c r="K221">
        <v>0.06</v>
      </c>
      <c r="L221" t="s">
        <v>24</v>
      </c>
      <c r="M221">
        <f ca="1">IF(ISBLANK(Table1[[#This Row],[Exit]]),DATEDIF(Table1[[#This Row],[Hire]],TODAY(),"Y"),DATEDIF(Table1[[#This Row],[Hire]],Table1[[#This Row],[Exit]],"Y"))</f>
        <v>1</v>
      </c>
      <c r="N221" t="str" cm="1">
        <f t="array" ref="N221">_xlfn.IFS(
AND(D221&gt;=26,D221&lt;=30),"26–30",
AND(D221&gt;=31,D221&lt;=35),"31–35",
AND(D221&gt;=36,D221&lt;=40),"36–40",
AND(D221&gt;=41,D221&lt;=45),"41–45",
AND(D221&gt;=46,D221&lt;=50),"46–50",
AND(D221&gt;=51,D221&lt;=60),"51–60")</f>
        <v>41–45</v>
      </c>
    </row>
    <row r="222" spans="1:14" x14ac:dyDescent="0.35">
      <c r="A222" t="s">
        <v>470</v>
      </c>
      <c r="B222" t="s">
        <v>471</v>
      </c>
      <c r="C222" t="s">
        <v>21</v>
      </c>
      <c r="D222">
        <v>50</v>
      </c>
      <c r="E222" t="s">
        <v>81</v>
      </c>
      <c r="F222" t="s">
        <v>46</v>
      </c>
      <c r="G222" t="s">
        <v>23</v>
      </c>
      <c r="H222" s="1">
        <v>45237</v>
      </c>
      <c r="J222">
        <v>448000</v>
      </c>
      <c r="K222">
        <v>0.12</v>
      </c>
      <c r="L222" t="s">
        <v>24</v>
      </c>
      <c r="M222">
        <f ca="1">IF(ISBLANK(Table1[[#This Row],[Exit]]),DATEDIF(Table1[[#This Row],[Hire]],TODAY(),"Y"),DATEDIF(Table1[[#This Row],[Hire]],Table1[[#This Row],[Exit]],"Y"))</f>
        <v>2</v>
      </c>
      <c r="N222" t="str" cm="1">
        <f t="array" ref="N222">_xlfn.IFS(
AND(D222&gt;=26,D222&lt;=30),"26–30",
AND(D222&gt;=31,D222&lt;=35),"31–35",
AND(D222&gt;=36,D222&lt;=40),"36–40",
AND(D222&gt;=41,D222&lt;=45),"41–45",
AND(D222&gt;=46,D222&lt;=50),"46–50",
AND(D222&gt;=51,D222&lt;=60),"51–60")</f>
        <v>46–50</v>
      </c>
    </row>
    <row r="223" spans="1:14" x14ac:dyDescent="0.35">
      <c r="A223" t="s">
        <v>472</v>
      </c>
      <c r="B223" t="s">
        <v>473</v>
      </c>
      <c r="C223" t="s">
        <v>21</v>
      </c>
      <c r="D223">
        <v>36</v>
      </c>
      <c r="E223" t="s">
        <v>22</v>
      </c>
      <c r="F223" t="s">
        <v>16</v>
      </c>
      <c r="G223" t="s">
        <v>34</v>
      </c>
      <c r="H223" s="1">
        <v>45206</v>
      </c>
      <c r="J223">
        <v>450000</v>
      </c>
      <c r="K223">
        <v>0.16</v>
      </c>
      <c r="L223" t="s">
        <v>24</v>
      </c>
      <c r="M223">
        <f ca="1">IF(ISBLANK(Table1[[#This Row],[Exit]]),DATEDIF(Table1[[#This Row],[Hire]],TODAY(),"Y"),DATEDIF(Table1[[#This Row],[Hire]],Table1[[#This Row],[Exit]],"Y"))</f>
        <v>2</v>
      </c>
      <c r="N223" t="str" cm="1">
        <f t="array" ref="N223">_xlfn.IFS(
AND(D223&gt;=26,D223&lt;=30),"26–30",
AND(D223&gt;=31,D223&lt;=35),"31–35",
AND(D223&gt;=36,D223&lt;=40),"36–40",
AND(D223&gt;=41,D223&lt;=45),"41–45",
AND(D223&gt;=46,D223&lt;=50),"46–50",
AND(D223&gt;=51,D223&lt;=60),"51–60")</f>
        <v>36–40</v>
      </c>
    </row>
    <row r="224" spans="1:14" x14ac:dyDescent="0.35">
      <c r="A224" t="s">
        <v>474</v>
      </c>
      <c r="B224" t="s">
        <v>475</v>
      </c>
      <c r="C224" t="s">
        <v>14</v>
      </c>
      <c r="D224">
        <v>45</v>
      </c>
      <c r="E224" t="s">
        <v>92</v>
      </c>
      <c r="F224" t="s">
        <v>59</v>
      </c>
      <c r="G224" t="s">
        <v>34</v>
      </c>
      <c r="H224" s="1">
        <v>44677</v>
      </c>
      <c r="J224">
        <v>452000</v>
      </c>
      <c r="K224">
        <v>0.35</v>
      </c>
      <c r="L224" t="s">
        <v>24</v>
      </c>
      <c r="M224">
        <f ca="1">IF(ISBLANK(Table1[[#This Row],[Exit]]),DATEDIF(Table1[[#This Row],[Hire]],TODAY(),"Y"),DATEDIF(Table1[[#This Row],[Hire]],Table1[[#This Row],[Exit]],"Y"))</f>
        <v>3</v>
      </c>
      <c r="N224" t="str" cm="1">
        <f t="array" ref="N224">_xlfn.IFS(
AND(D224&gt;=26,D224&lt;=30),"26–30",
AND(D224&gt;=31,D224&lt;=35),"31–35",
AND(D224&gt;=36,D224&lt;=40),"36–40",
AND(D224&gt;=41,D224&lt;=45),"41–45",
AND(D224&gt;=46,D224&lt;=50),"46–50",
AND(D224&gt;=51,D224&lt;=60),"51–60")</f>
        <v>41–45</v>
      </c>
    </row>
    <row r="225" spans="1:14" x14ac:dyDescent="0.35">
      <c r="A225" t="s">
        <v>476</v>
      </c>
      <c r="B225" t="s">
        <v>477</v>
      </c>
      <c r="C225" t="s">
        <v>21</v>
      </c>
      <c r="D225">
        <v>31</v>
      </c>
      <c r="E225" t="s">
        <v>31</v>
      </c>
      <c r="F225" t="s">
        <v>16</v>
      </c>
      <c r="G225" t="s">
        <v>17</v>
      </c>
      <c r="H225" s="1">
        <v>43889</v>
      </c>
      <c r="J225">
        <v>454000</v>
      </c>
      <c r="K225">
        <v>0.18</v>
      </c>
      <c r="L225" t="s">
        <v>24</v>
      </c>
      <c r="M225">
        <f ca="1">IF(ISBLANK(Table1[[#This Row],[Exit]]),DATEDIF(Table1[[#This Row],[Hire]],TODAY(),"Y"),DATEDIF(Table1[[#This Row],[Hire]],Table1[[#This Row],[Exit]],"Y"))</f>
        <v>5</v>
      </c>
      <c r="N225" t="str" cm="1">
        <f t="array" ref="N225">_xlfn.IFS(
AND(D225&gt;=26,D225&lt;=30),"26–30",
AND(D225&gt;=31,D225&lt;=35),"31–35",
AND(D225&gt;=36,D225&lt;=40),"36–40",
AND(D225&gt;=41,D225&lt;=45),"41–45",
AND(D225&gt;=46,D225&lt;=50),"46–50",
AND(D225&gt;=51,D225&lt;=60),"51–60")</f>
        <v>31–35</v>
      </c>
    </row>
    <row r="226" spans="1:14" x14ac:dyDescent="0.35">
      <c r="A226" t="s">
        <v>478</v>
      </c>
      <c r="B226" t="s">
        <v>479</v>
      </c>
      <c r="C226" t="s">
        <v>14</v>
      </c>
      <c r="D226">
        <v>41</v>
      </c>
      <c r="E226" t="s">
        <v>15</v>
      </c>
      <c r="F226" t="s">
        <v>16</v>
      </c>
      <c r="G226" t="s">
        <v>17</v>
      </c>
      <c r="H226" s="1">
        <v>44116</v>
      </c>
      <c r="J226">
        <v>456000</v>
      </c>
      <c r="K226">
        <v>0.1</v>
      </c>
      <c r="L226" t="s">
        <v>24</v>
      </c>
      <c r="M226">
        <f ca="1">IF(ISBLANK(Table1[[#This Row],[Exit]]),DATEDIF(Table1[[#This Row],[Hire]],TODAY(),"Y"),DATEDIF(Table1[[#This Row],[Hire]],Table1[[#This Row],[Exit]],"Y"))</f>
        <v>5</v>
      </c>
      <c r="N226" t="str" cm="1">
        <f t="array" ref="N226">_xlfn.IFS(
AND(D226&gt;=26,D226&lt;=30),"26–30",
AND(D226&gt;=31,D226&lt;=35),"31–35",
AND(D226&gt;=36,D226&lt;=40),"36–40",
AND(D226&gt;=41,D226&lt;=45),"41–45",
AND(D226&gt;=46,D226&lt;=50),"46–50",
AND(D226&gt;=51,D226&lt;=60),"51–60")</f>
        <v>41–45</v>
      </c>
    </row>
    <row r="227" spans="1:14" x14ac:dyDescent="0.35">
      <c r="A227" t="s">
        <v>480</v>
      </c>
      <c r="B227" t="s">
        <v>481</v>
      </c>
      <c r="C227" t="s">
        <v>14</v>
      </c>
      <c r="D227">
        <v>47</v>
      </c>
      <c r="E227" t="s">
        <v>22</v>
      </c>
      <c r="F227" t="s">
        <v>16</v>
      </c>
      <c r="G227" t="s">
        <v>23</v>
      </c>
      <c r="H227" s="1">
        <v>44588</v>
      </c>
      <c r="J227">
        <v>458000</v>
      </c>
      <c r="K227">
        <v>0.11</v>
      </c>
      <c r="L227" t="s">
        <v>24</v>
      </c>
      <c r="M227">
        <f ca="1">IF(ISBLANK(Table1[[#This Row],[Exit]]),DATEDIF(Table1[[#This Row],[Hire]],TODAY(),"Y"),DATEDIF(Table1[[#This Row],[Hire]],Table1[[#This Row],[Exit]],"Y"))</f>
        <v>4</v>
      </c>
      <c r="N227" t="str" cm="1">
        <f t="array" ref="N227">_xlfn.IFS(
AND(D227&gt;=26,D227&lt;=30),"26–30",
AND(D227&gt;=31,D227&lt;=35),"31–35",
AND(D227&gt;=36,D227&lt;=40),"36–40",
AND(D227&gt;=41,D227&lt;=45),"41–45",
AND(D227&gt;=46,D227&lt;=50),"46–50",
AND(D227&gt;=51,D227&lt;=60),"51–60")</f>
        <v>46–50</v>
      </c>
    </row>
    <row r="228" spans="1:14" x14ac:dyDescent="0.35">
      <c r="A228" t="s">
        <v>482</v>
      </c>
      <c r="B228" t="s">
        <v>483</v>
      </c>
      <c r="C228" t="s">
        <v>14</v>
      </c>
      <c r="D228">
        <v>38</v>
      </c>
      <c r="E228" t="s">
        <v>27</v>
      </c>
      <c r="F228" t="s">
        <v>28</v>
      </c>
      <c r="G228" t="s">
        <v>17</v>
      </c>
      <c r="H228" s="1">
        <v>45337</v>
      </c>
      <c r="J228">
        <v>460000</v>
      </c>
      <c r="K228">
        <v>0</v>
      </c>
      <c r="L228" t="s">
        <v>24</v>
      </c>
      <c r="M228">
        <f ca="1">IF(ISBLANK(Table1[[#This Row],[Exit]]),DATEDIF(Table1[[#This Row],[Hire]],TODAY(),"Y"),DATEDIF(Table1[[#This Row],[Hire]],Table1[[#This Row],[Exit]],"Y"))</f>
        <v>1</v>
      </c>
      <c r="N228" t="str" cm="1">
        <f t="array" ref="N228">_xlfn.IFS(
AND(D228&gt;=26,D228&lt;=30),"26–30",
AND(D228&gt;=31,D228&lt;=35),"31–35",
AND(D228&gt;=36,D228&lt;=40),"36–40",
AND(D228&gt;=41,D228&lt;=45),"41–45",
AND(D228&gt;=46,D228&lt;=50),"46–50",
AND(D228&gt;=51,D228&lt;=60),"51–60")</f>
        <v>36–40</v>
      </c>
    </row>
    <row r="229" spans="1:14" x14ac:dyDescent="0.35">
      <c r="A229" t="s">
        <v>484</v>
      </c>
      <c r="B229" t="s">
        <v>485</v>
      </c>
      <c r="C229" t="s">
        <v>355</v>
      </c>
      <c r="D229">
        <v>40</v>
      </c>
      <c r="E229" t="s">
        <v>31</v>
      </c>
      <c r="F229" t="s">
        <v>16</v>
      </c>
      <c r="G229" t="s">
        <v>23</v>
      </c>
      <c r="H229" s="1">
        <v>45332</v>
      </c>
      <c r="J229">
        <v>462000</v>
      </c>
      <c r="K229">
        <v>0</v>
      </c>
      <c r="L229" t="s">
        <v>24</v>
      </c>
      <c r="M229">
        <f ca="1">IF(ISBLANK(Table1[[#This Row],[Exit]]),DATEDIF(Table1[[#This Row],[Hire]],TODAY(),"Y"),DATEDIF(Table1[[#This Row],[Hire]],Table1[[#This Row],[Exit]],"Y"))</f>
        <v>1</v>
      </c>
      <c r="N229" t="str" cm="1">
        <f t="array" ref="N229">_xlfn.IFS(
AND(D229&gt;=26,D229&lt;=30),"26–30",
AND(D229&gt;=31,D229&lt;=35),"31–35",
AND(D229&gt;=36,D229&lt;=40),"36–40",
AND(D229&gt;=41,D229&lt;=45),"41–45",
AND(D229&gt;=46,D229&lt;=50),"46–50",
AND(D229&gt;=51,D229&lt;=60),"51–60")</f>
        <v>36–40</v>
      </c>
    </row>
    <row r="230" spans="1:14" x14ac:dyDescent="0.35">
      <c r="A230" t="s">
        <v>486</v>
      </c>
      <c r="B230" t="s">
        <v>487</v>
      </c>
      <c r="C230" t="s">
        <v>14</v>
      </c>
      <c r="D230">
        <v>45</v>
      </c>
      <c r="E230" t="s">
        <v>27</v>
      </c>
      <c r="F230" t="s">
        <v>28</v>
      </c>
      <c r="G230" t="s">
        <v>34</v>
      </c>
      <c r="H230" s="1">
        <v>44183</v>
      </c>
      <c r="J230">
        <v>464000</v>
      </c>
      <c r="K230">
        <v>0</v>
      </c>
      <c r="L230" t="s">
        <v>24</v>
      </c>
      <c r="M230">
        <f ca="1">IF(ISBLANK(Table1[[#This Row],[Exit]]),DATEDIF(Table1[[#This Row],[Hire]],TODAY(),"Y"),DATEDIF(Table1[[#This Row],[Hire]],Table1[[#This Row],[Exit]],"Y"))</f>
        <v>5</v>
      </c>
      <c r="N230" t="str" cm="1">
        <f t="array" ref="N230">_xlfn.IFS(
AND(D230&gt;=26,D230&lt;=30),"26–30",
AND(D230&gt;=31,D230&lt;=35),"31–35",
AND(D230&gt;=36,D230&lt;=40),"36–40",
AND(D230&gt;=41,D230&lt;=45),"41–45",
AND(D230&gt;=46,D230&lt;=50),"46–50",
AND(D230&gt;=51,D230&lt;=60),"51–60")</f>
        <v>41–45</v>
      </c>
    </row>
    <row r="231" spans="1:14" x14ac:dyDescent="0.35">
      <c r="A231" t="s">
        <v>488</v>
      </c>
      <c r="B231" t="s">
        <v>489</v>
      </c>
      <c r="C231" t="s">
        <v>21</v>
      </c>
      <c r="D231">
        <v>31</v>
      </c>
      <c r="E231" t="s">
        <v>15</v>
      </c>
      <c r="F231" t="s">
        <v>16</v>
      </c>
      <c r="G231" t="s">
        <v>23</v>
      </c>
      <c r="H231" s="1">
        <v>43837</v>
      </c>
      <c r="J231">
        <v>466000</v>
      </c>
      <c r="K231">
        <v>0</v>
      </c>
      <c r="L231" t="s">
        <v>24</v>
      </c>
      <c r="M231">
        <f ca="1">IF(ISBLANK(Table1[[#This Row],[Exit]]),DATEDIF(Table1[[#This Row],[Hire]],TODAY(),"Y"),DATEDIF(Table1[[#This Row],[Hire]],Table1[[#This Row],[Exit]],"Y"))</f>
        <v>6</v>
      </c>
      <c r="N231" t="str" cm="1">
        <f t="array" ref="N231">_xlfn.IFS(
AND(D231&gt;=26,D231&lt;=30),"26–30",
AND(D231&gt;=31,D231&lt;=35),"31–35",
AND(D231&gt;=36,D231&lt;=40),"36–40",
AND(D231&gt;=41,D231&lt;=45),"41–45",
AND(D231&gt;=46,D231&lt;=50),"46–50",
AND(D231&gt;=51,D231&lt;=60),"51–60")</f>
        <v>31–35</v>
      </c>
    </row>
    <row r="232" spans="1:14" x14ac:dyDescent="0.35">
      <c r="A232" t="s">
        <v>490</v>
      </c>
      <c r="B232" t="s">
        <v>491</v>
      </c>
      <c r="C232" t="s">
        <v>14</v>
      </c>
      <c r="D232">
        <v>35</v>
      </c>
      <c r="E232" t="s">
        <v>15</v>
      </c>
      <c r="F232" t="s">
        <v>16</v>
      </c>
      <c r="G232" t="s">
        <v>34</v>
      </c>
      <c r="H232" s="1">
        <v>45206</v>
      </c>
      <c r="J232">
        <v>468000</v>
      </c>
      <c r="K232">
        <v>0.2</v>
      </c>
      <c r="L232" t="s">
        <v>24</v>
      </c>
      <c r="M232">
        <f ca="1">IF(ISBLANK(Table1[[#This Row],[Exit]]),DATEDIF(Table1[[#This Row],[Hire]],TODAY(),"Y"),DATEDIF(Table1[[#This Row],[Hire]],Table1[[#This Row],[Exit]],"Y"))</f>
        <v>2</v>
      </c>
      <c r="N232" t="str" cm="1">
        <f t="array" ref="N232">_xlfn.IFS(
AND(D232&gt;=26,D232&lt;=30),"26–30",
AND(D232&gt;=31,D232&lt;=35),"31–35",
AND(D232&gt;=36,D232&lt;=40),"36–40",
AND(D232&gt;=41,D232&lt;=45),"41–45",
AND(D232&gt;=46,D232&lt;=50),"46–50",
AND(D232&gt;=51,D232&lt;=60),"51–60")</f>
        <v>31–35</v>
      </c>
    </row>
    <row r="233" spans="1:14" x14ac:dyDescent="0.35">
      <c r="A233" t="s">
        <v>492</v>
      </c>
      <c r="B233" t="s">
        <v>493</v>
      </c>
      <c r="C233" t="s">
        <v>21</v>
      </c>
      <c r="D233">
        <v>31</v>
      </c>
      <c r="E233" t="s">
        <v>42</v>
      </c>
      <c r="F233" t="s">
        <v>43</v>
      </c>
      <c r="G233" t="s">
        <v>34</v>
      </c>
      <c r="H233" s="1">
        <v>44487</v>
      </c>
      <c r="J233">
        <v>470000</v>
      </c>
      <c r="K233">
        <v>0</v>
      </c>
      <c r="L233" t="s">
        <v>24</v>
      </c>
      <c r="M233">
        <f ca="1">IF(ISBLANK(Table1[[#This Row],[Exit]]),DATEDIF(Table1[[#This Row],[Hire]],TODAY(),"Y"),DATEDIF(Table1[[#This Row],[Hire]],Table1[[#This Row],[Exit]],"Y"))</f>
        <v>4</v>
      </c>
      <c r="N233" t="str" cm="1">
        <f t="array" ref="N233">_xlfn.IFS(
AND(D233&gt;=26,D233&lt;=30),"26–30",
AND(D233&gt;=31,D233&lt;=35),"31–35",
AND(D233&gt;=36,D233&lt;=40),"36–40",
AND(D233&gt;=41,D233&lt;=45),"41–45",
AND(D233&gt;=46,D233&lt;=50),"46–50",
AND(D233&gt;=51,D233&lt;=60),"51–60")</f>
        <v>31–35</v>
      </c>
    </row>
    <row r="234" spans="1:14" x14ac:dyDescent="0.35">
      <c r="A234" t="s">
        <v>494</v>
      </c>
      <c r="B234" t="s">
        <v>495</v>
      </c>
      <c r="C234" t="s">
        <v>14</v>
      </c>
      <c r="D234">
        <v>35</v>
      </c>
      <c r="E234" t="s">
        <v>42</v>
      </c>
      <c r="F234" t="s">
        <v>46</v>
      </c>
      <c r="G234" t="s">
        <v>23</v>
      </c>
      <c r="H234" s="1">
        <v>44791</v>
      </c>
      <c r="J234">
        <v>472000</v>
      </c>
      <c r="K234">
        <v>0</v>
      </c>
      <c r="L234" t="s">
        <v>24</v>
      </c>
      <c r="M234">
        <f ca="1">IF(ISBLANK(Table1[[#This Row],[Exit]]),DATEDIF(Table1[[#This Row],[Hire]],TODAY(),"Y"),DATEDIF(Table1[[#This Row],[Hire]],Table1[[#This Row],[Exit]],"Y"))</f>
        <v>3</v>
      </c>
      <c r="N234" t="str" cm="1">
        <f t="array" ref="N234">_xlfn.IFS(
AND(D234&gt;=26,D234&lt;=30),"26–30",
AND(D234&gt;=31,D234&lt;=35),"31–35",
AND(D234&gt;=36,D234&lt;=40),"36–40",
AND(D234&gt;=41,D234&lt;=45),"41–45",
AND(D234&gt;=46,D234&lt;=50),"46–50",
AND(D234&gt;=51,D234&lt;=60),"51–60")</f>
        <v>31–35</v>
      </c>
    </row>
    <row r="235" spans="1:14" x14ac:dyDescent="0.35">
      <c r="A235" t="s">
        <v>496</v>
      </c>
      <c r="B235" t="s">
        <v>497</v>
      </c>
      <c r="C235" t="s">
        <v>21</v>
      </c>
      <c r="D235">
        <v>31</v>
      </c>
      <c r="E235" t="s">
        <v>42</v>
      </c>
      <c r="F235" t="s">
        <v>49</v>
      </c>
      <c r="G235" t="s">
        <v>17</v>
      </c>
      <c r="H235" s="1">
        <v>45440</v>
      </c>
      <c r="J235">
        <v>474000</v>
      </c>
      <c r="K235">
        <v>0.33</v>
      </c>
      <c r="L235" t="s">
        <v>24</v>
      </c>
      <c r="M235">
        <f ca="1">IF(ISBLANK(Table1[[#This Row],[Exit]]),DATEDIF(Table1[[#This Row],[Hire]],TODAY(),"Y"),DATEDIF(Table1[[#This Row],[Hire]],Table1[[#This Row],[Exit]],"Y"))</f>
        <v>1</v>
      </c>
      <c r="N235" t="str" cm="1">
        <f t="array" ref="N235">_xlfn.IFS(
AND(D235&gt;=26,D235&lt;=30),"26–30",
AND(D235&gt;=31,D235&lt;=35),"31–35",
AND(D235&gt;=36,D235&lt;=40),"36–40",
AND(D235&gt;=41,D235&lt;=45),"41–45",
AND(D235&gt;=46,D235&lt;=50),"46–50",
AND(D235&gt;=51,D235&lt;=60),"51–60")</f>
        <v>31–35</v>
      </c>
    </row>
    <row r="236" spans="1:14" x14ac:dyDescent="0.35">
      <c r="A236" t="s">
        <v>498</v>
      </c>
      <c r="B236" t="s">
        <v>499</v>
      </c>
      <c r="C236" t="s">
        <v>21</v>
      </c>
      <c r="D236">
        <v>31</v>
      </c>
      <c r="E236" t="s">
        <v>52</v>
      </c>
      <c r="F236" t="s">
        <v>16</v>
      </c>
      <c r="G236" t="s">
        <v>53</v>
      </c>
      <c r="H236" s="1">
        <v>44811</v>
      </c>
      <c r="J236">
        <v>476000</v>
      </c>
      <c r="K236">
        <v>0.14000000000000001</v>
      </c>
      <c r="L236" t="s">
        <v>24</v>
      </c>
      <c r="M236">
        <f ca="1">IF(ISBLANK(Table1[[#This Row],[Exit]]),DATEDIF(Table1[[#This Row],[Hire]],TODAY(),"Y"),DATEDIF(Table1[[#This Row],[Hire]],Table1[[#This Row],[Exit]],"Y"))</f>
        <v>3</v>
      </c>
      <c r="N236" t="str" cm="1">
        <f t="array" ref="N236">_xlfn.IFS(
AND(D236&gt;=26,D236&lt;=30),"26–30",
AND(D236&gt;=31,D236&lt;=35),"31–35",
AND(D236&gt;=36,D236&lt;=40),"36–40",
AND(D236&gt;=41,D236&lt;=45),"41–45",
AND(D236&gt;=46,D236&lt;=50),"46–50",
AND(D236&gt;=51,D236&lt;=60),"51–60")</f>
        <v>31–35</v>
      </c>
    </row>
    <row r="237" spans="1:14" x14ac:dyDescent="0.35">
      <c r="A237" t="s">
        <v>500</v>
      </c>
      <c r="B237" t="s">
        <v>501</v>
      </c>
      <c r="C237" t="s">
        <v>41</v>
      </c>
      <c r="D237">
        <v>27</v>
      </c>
      <c r="E237" t="s">
        <v>42</v>
      </c>
      <c r="F237" t="s">
        <v>46</v>
      </c>
      <c r="G237" t="s">
        <v>53</v>
      </c>
      <c r="H237" s="1">
        <v>44564</v>
      </c>
      <c r="I237" s="1">
        <v>45094</v>
      </c>
      <c r="J237">
        <v>478000</v>
      </c>
      <c r="K237">
        <v>0</v>
      </c>
      <c r="L237" t="s">
        <v>18</v>
      </c>
      <c r="M237">
        <f ca="1">IF(ISBLANK(Table1[[#This Row],[Exit]]),DATEDIF(Table1[[#This Row],[Hire]],TODAY(),"Y"),DATEDIF(Table1[[#This Row],[Hire]],Table1[[#This Row],[Exit]],"Y"))</f>
        <v>1</v>
      </c>
      <c r="N237" t="str" cm="1">
        <f t="array" ref="N237">_xlfn.IFS(
AND(D237&gt;=26,D237&lt;=30),"26–30",
AND(D237&gt;=31,D237&lt;=35),"31–35",
AND(D237&gt;=36,D237&lt;=40),"36–40",
AND(D237&gt;=41,D237&lt;=45),"41–45",
AND(D237&gt;=46,D237&lt;=50),"46–50",
AND(D237&gt;=51,D237&lt;=60),"51–60")</f>
        <v>26–30</v>
      </c>
    </row>
    <row r="238" spans="1:14" x14ac:dyDescent="0.35">
      <c r="A238" t="s">
        <v>502</v>
      </c>
      <c r="B238" t="s">
        <v>503</v>
      </c>
      <c r="C238" t="s">
        <v>14</v>
      </c>
      <c r="D238">
        <v>30</v>
      </c>
      <c r="E238" t="s">
        <v>58</v>
      </c>
      <c r="F238" t="s">
        <v>59</v>
      </c>
      <c r="G238" t="s">
        <v>34</v>
      </c>
      <c r="H238" s="1">
        <v>45074</v>
      </c>
      <c r="J238">
        <v>480000</v>
      </c>
      <c r="K238">
        <v>0.38</v>
      </c>
      <c r="L238" t="s">
        <v>24</v>
      </c>
      <c r="M238">
        <f ca="1">IF(ISBLANK(Table1[[#This Row],[Exit]]),DATEDIF(Table1[[#This Row],[Hire]],TODAY(),"Y"),DATEDIF(Table1[[#This Row],[Hire]],Table1[[#This Row],[Exit]],"Y"))</f>
        <v>2</v>
      </c>
      <c r="N238" t="str" cm="1">
        <f t="array" ref="N238">_xlfn.IFS(
AND(D238&gt;=26,D238&lt;=30),"26–30",
AND(D238&gt;=31,D238&lt;=35),"31–35",
AND(D238&gt;=36,D238&lt;=40),"36–40",
AND(D238&gt;=41,D238&lt;=45),"41–45",
AND(D238&gt;=46,D238&lt;=50),"46–50",
AND(D238&gt;=51,D238&lt;=60),"51–60")</f>
        <v>26–30</v>
      </c>
    </row>
    <row r="239" spans="1:14" x14ac:dyDescent="0.35">
      <c r="A239" t="s">
        <v>504</v>
      </c>
      <c r="B239" t="s">
        <v>505</v>
      </c>
      <c r="C239" t="s">
        <v>41</v>
      </c>
      <c r="D239">
        <v>36</v>
      </c>
      <c r="E239" t="s">
        <v>52</v>
      </c>
      <c r="F239" t="s">
        <v>16</v>
      </c>
      <c r="G239" t="s">
        <v>23</v>
      </c>
      <c r="H239" s="1">
        <v>45245</v>
      </c>
      <c r="J239">
        <v>482000</v>
      </c>
      <c r="K239">
        <v>0.3</v>
      </c>
      <c r="L239" t="s">
        <v>24</v>
      </c>
      <c r="M239">
        <f ca="1">IF(ISBLANK(Table1[[#This Row],[Exit]]),DATEDIF(Table1[[#This Row],[Hire]],TODAY(),"Y"),DATEDIF(Table1[[#This Row],[Hire]],Table1[[#This Row],[Exit]],"Y"))</f>
        <v>2</v>
      </c>
      <c r="N239" t="str" cm="1">
        <f t="array" ref="N239">_xlfn.IFS(
AND(D239&gt;=26,D239&lt;=30),"26–30",
AND(D239&gt;=31,D239&lt;=35),"31–35",
AND(D239&gt;=36,D239&lt;=40),"36–40",
AND(D239&gt;=41,D239&lt;=45),"41–45",
AND(D239&gt;=46,D239&lt;=50),"46–50",
AND(D239&gt;=51,D239&lt;=60),"51–60")</f>
        <v>36–40</v>
      </c>
    </row>
    <row r="240" spans="1:14" x14ac:dyDescent="0.35">
      <c r="A240" t="s">
        <v>506</v>
      </c>
      <c r="B240" t="s">
        <v>507</v>
      </c>
      <c r="C240" t="s">
        <v>14</v>
      </c>
      <c r="D240">
        <v>45</v>
      </c>
      <c r="E240" t="s">
        <v>52</v>
      </c>
      <c r="F240" t="s">
        <v>16</v>
      </c>
      <c r="G240" t="s">
        <v>34</v>
      </c>
      <c r="H240" s="1">
        <v>43851</v>
      </c>
      <c r="J240">
        <v>484000</v>
      </c>
      <c r="K240">
        <v>0.31</v>
      </c>
      <c r="L240" t="s">
        <v>24</v>
      </c>
      <c r="M240">
        <f ca="1">IF(ISBLANK(Table1[[#This Row],[Exit]]),DATEDIF(Table1[[#This Row],[Hire]],TODAY(),"Y"),DATEDIF(Table1[[#This Row],[Hire]],Table1[[#This Row],[Exit]],"Y"))</f>
        <v>6</v>
      </c>
      <c r="N240" t="str" cm="1">
        <f t="array" ref="N240">_xlfn.IFS(
AND(D240&gt;=26,D240&lt;=30),"26–30",
AND(D240&gt;=31,D240&lt;=35),"31–35",
AND(D240&gt;=36,D240&lt;=40),"36–40",
AND(D240&gt;=41,D240&lt;=45),"41–45",
AND(D240&gt;=46,D240&lt;=50),"46–50",
AND(D240&gt;=51,D240&lt;=60),"51–60")</f>
        <v>41–45</v>
      </c>
    </row>
    <row r="241" spans="1:14" x14ac:dyDescent="0.35">
      <c r="A241" t="s">
        <v>508</v>
      </c>
      <c r="B241" t="s">
        <v>509</v>
      </c>
      <c r="C241" t="s">
        <v>21</v>
      </c>
      <c r="D241">
        <v>37</v>
      </c>
      <c r="E241" t="s">
        <v>66</v>
      </c>
      <c r="F241" t="s">
        <v>16</v>
      </c>
      <c r="G241" t="s">
        <v>17</v>
      </c>
      <c r="H241" s="1">
        <v>45206</v>
      </c>
      <c r="J241">
        <v>486000</v>
      </c>
      <c r="K241">
        <v>0.14000000000000001</v>
      </c>
      <c r="L241" t="s">
        <v>24</v>
      </c>
      <c r="M241">
        <f ca="1">IF(ISBLANK(Table1[[#This Row],[Exit]]),DATEDIF(Table1[[#This Row],[Hire]],TODAY(),"Y"),DATEDIF(Table1[[#This Row],[Hire]],Table1[[#This Row],[Exit]],"Y"))</f>
        <v>2</v>
      </c>
      <c r="N241" t="str" cm="1">
        <f t="array" ref="N241">_xlfn.IFS(
AND(D241&gt;=26,D241&lt;=30),"26–30",
AND(D241&gt;=31,D241&lt;=35),"31–35",
AND(D241&gt;=36,D241&lt;=40),"36–40",
AND(D241&gt;=41,D241&lt;=45),"41–45",
AND(D241&gt;=46,D241&lt;=50),"46–50",
AND(D241&gt;=51,D241&lt;=60),"51–60")</f>
        <v>36–40</v>
      </c>
    </row>
    <row r="242" spans="1:14" x14ac:dyDescent="0.35">
      <c r="A242" t="s">
        <v>510</v>
      </c>
      <c r="B242" t="s">
        <v>511</v>
      </c>
      <c r="C242" t="s">
        <v>21</v>
      </c>
      <c r="D242">
        <v>38</v>
      </c>
      <c r="E242" t="s">
        <v>58</v>
      </c>
      <c r="F242" t="s">
        <v>59</v>
      </c>
      <c r="G242" t="s">
        <v>23</v>
      </c>
      <c r="H242" s="1">
        <v>45401</v>
      </c>
      <c r="J242">
        <v>488000</v>
      </c>
      <c r="K242">
        <v>0</v>
      </c>
      <c r="L242" t="s">
        <v>24</v>
      </c>
      <c r="M242">
        <f ca="1">IF(ISBLANK(Table1[[#This Row],[Exit]]),DATEDIF(Table1[[#This Row],[Hire]],TODAY(),"Y"),DATEDIF(Table1[[#This Row],[Hire]],Table1[[#This Row],[Exit]],"Y"))</f>
        <v>1</v>
      </c>
      <c r="N242" t="str" cm="1">
        <f t="array" ref="N242">_xlfn.IFS(
AND(D242&gt;=26,D242&lt;=30),"26–30",
AND(D242&gt;=31,D242&lt;=35),"31–35",
AND(D242&gt;=36,D242&lt;=40),"36–40",
AND(D242&gt;=41,D242&lt;=45),"41–45",
AND(D242&gt;=46,D242&lt;=50),"46–50",
AND(D242&gt;=51,D242&lt;=60),"51–60")</f>
        <v>36–40</v>
      </c>
    </row>
    <row r="243" spans="1:14" x14ac:dyDescent="0.35">
      <c r="A243" t="s">
        <v>512</v>
      </c>
      <c r="B243" t="s">
        <v>513</v>
      </c>
      <c r="C243" t="s">
        <v>14</v>
      </c>
      <c r="D243">
        <v>45</v>
      </c>
      <c r="E243" t="s">
        <v>66</v>
      </c>
      <c r="F243" t="s">
        <v>16</v>
      </c>
      <c r="G243" t="s">
        <v>34</v>
      </c>
      <c r="H243" s="1">
        <v>44083</v>
      </c>
      <c r="J243">
        <v>490000</v>
      </c>
      <c r="K243">
        <v>0</v>
      </c>
      <c r="L243" t="s">
        <v>24</v>
      </c>
      <c r="M243">
        <f ca="1">IF(ISBLANK(Table1[[#This Row],[Exit]]),DATEDIF(Table1[[#This Row],[Hire]],TODAY(),"Y"),DATEDIF(Table1[[#This Row],[Hire]],Table1[[#This Row],[Exit]],"Y"))</f>
        <v>5</v>
      </c>
      <c r="N243" t="str" cm="1">
        <f t="array" ref="N243">_xlfn.IFS(
AND(D243&gt;=26,D243&lt;=30),"26–30",
AND(D243&gt;=31,D243&lt;=35),"31–35",
AND(D243&gt;=36,D243&lt;=40),"36–40",
AND(D243&gt;=41,D243&lt;=45),"41–45",
AND(D243&gt;=46,D243&lt;=50),"46–50",
AND(D243&gt;=51,D243&lt;=60),"51–60")</f>
        <v>41–45</v>
      </c>
    </row>
    <row r="244" spans="1:14" x14ac:dyDescent="0.35">
      <c r="A244" t="s">
        <v>145</v>
      </c>
      <c r="B244" t="s">
        <v>514</v>
      </c>
      <c r="C244" t="s">
        <v>14</v>
      </c>
      <c r="D244">
        <v>51</v>
      </c>
      <c r="E244" t="s">
        <v>66</v>
      </c>
      <c r="F244" t="s">
        <v>16</v>
      </c>
      <c r="G244" t="s">
        <v>53</v>
      </c>
      <c r="H244" s="1">
        <v>45233</v>
      </c>
      <c r="J244">
        <v>492000</v>
      </c>
      <c r="K244">
        <v>0.09</v>
      </c>
      <c r="L244" t="s">
        <v>24</v>
      </c>
      <c r="M244">
        <f ca="1">IF(ISBLANK(Table1[[#This Row],[Exit]]),DATEDIF(Table1[[#This Row],[Hire]],TODAY(),"Y"),DATEDIF(Table1[[#This Row],[Hire]],Table1[[#This Row],[Exit]],"Y"))</f>
        <v>2</v>
      </c>
      <c r="N244" t="str" cm="1">
        <f t="array" ref="N244">_xlfn.IFS(
AND(D244&gt;=26,D244&lt;=30),"26–30",
AND(D244&gt;=31,D244&lt;=35),"31–35",
AND(D244&gt;=36,D244&lt;=40),"36–40",
AND(D244&gt;=41,D244&lt;=45),"41–45",
AND(D244&gt;=46,D244&lt;=50),"46–50",
AND(D244&gt;=51,D244&lt;=60),"51–60")</f>
        <v>51–60</v>
      </c>
    </row>
    <row r="245" spans="1:14" x14ac:dyDescent="0.35">
      <c r="A245" t="s">
        <v>515</v>
      </c>
      <c r="B245" t="s">
        <v>516</v>
      </c>
      <c r="C245" t="s">
        <v>14</v>
      </c>
      <c r="D245">
        <v>56</v>
      </c>
      <c r="E245" t="s">
        <v>58</v>
      </c>
      <c r="F245" t="s">
        <v>59</v>
      </c>
      <c r="G245" t="s">
        <v>53</v>
      </c>
      <c r="H245" s="1">
        <v>45412</v>
      </c>
      <c r="J245">
        <v>494000</v>
      </c>
      <c r="K245">
        <v>0.28999999999999998</v>
      </c>
      <c r="L245" t="s">
        <v>24</v>
      </c>
      <c r="M245">
        <f ca="1">IF(ISBLANK(Table1[[#This Row],[Exit]]),DATEDIF(Table1[[#This Row],[Hire]],TODAY(),"Y"),DATEDIF(Table1[[#This Row],[Hire]],Table1[[#This Row],[Exit]],"Y"))</f>
        <v>1</v>
      </c>
      <c r="N245" t="str" cm="1">
        <f t="array" ref="N245">_xlfn.IFS(
AND(D245&gt;=26,D245&lt;=30),"26–30",
AND(D245&gt;=31,D245&lt;=35),"31–35",
AND(D245&gt;=36,D245&lt;=40),"36–40",
AND(D245&gt;=41,D245&lt;=45),"41–45",
AND(D245&gt;=46,D245&lt;=50),"46–50",
AND(D245&gt;=51,D245&lt;=60),"51–60")</f>
        <v>51–60</v>
      </c>
    </row>
    <row r="246" spans="1:14" x14ac:dyDescent="0.35">
      <c r="A246" t="s">
        <v>517</v>
      </c>
      <c r="B246" t="s">
        <v>518</v>
      </c>
      <c r="C246" t="s">
        <v>14</v>
      </c>
      <c r="D246">
        <v>53</v>
      </c>
      <c r="E246" t="s">
        <v>15</v>
      </c>
      <c r="F246" t="s">
        <v>16</v>
      </c>
      <c r="G246" t="s">
        <v>53</v>
      </c>
      <c r="H246" s="1">
        <v>43887</v>
      </c>
      <c r="J246">
        <v>496000</v>
      </c>
      <c r="K246">
        <v>0</v>
      </c>
      <c r="L246" t="s">
        <v>24</v>
      </c>
      <c r="M246">
        <f ca="1">IF(ISBLANK(Table1[[#This Row],[Exit]]),DATEDIF(Table1[[#This Row],[Hire]],TODAY(),"Y"),DATEDIF(Table1[[#This Row],[Hire]],Table1[[#This Row],[Exit]],"Y"))</f>
        <v>5</v>
      </c>
      <c r="N246" t="str" cm="1">
        <f t="array" ref="N246">_xlfn.IFS(
AND(D246&gt;=26,D246&lt;=30),"26–30",
AND(D246&gt;=31,D246&lt;=35),"31–35",
AND(D246&gt;=36,D246&lt;=40),"36–40",
AND(D246&gt;=41,D246&lt;=45),"41–45",
AND(D246&gt;=46,D246&lt;=50),"46–50",
AND(D246&gt;=51,D246&lt;=60),"51–60")</f>
        <v>51–60</v>
      </c>
    </row>
    <row r="247" spans="1:14" x14ac:dyDescent="0.35">
      <c r="A247" t="s">
        <v>519</v>
      </c>
      <c r="B247" t="s">
        <v>520</v>
      </c>
      <c r="C247" t="s">
        <v>14</v>
      </c>
      <c r="D247">
        <v>47</v>
      </c>
      <c r="E247" t="s">
        <v>22</v>
      </c>
      <c r="F247" t="s">
        <v>16</v>
      </c>
      <c r="G247" t="s">
        <v>53</v>
      </c>
      <c r="H247" s="1">
        <v>44815</v>
      </c>
      <c r="J247">
        <v>498000</v>
      </c>
      <c r="K247">
        <v>0.3</v>
      </c>
      <c r="L247" t="s">
        <v>24</v>
      </c>
      <c r="M247">
        <f ca="1">IF(ISBLANK(Table1[[#This Row],[Exit]]),DATEDIF(Table1[[#This Row],[Hire]],TODAY(),"Y"),DATEDIF(Table1[[#This Row],[Hire]],Table1[[#This Row],[Exit]],"Y"))</f>
        <v>3</v>
      </c>
      <c r="N247" t="str" cm="1">
        <f t="array" ref="N247">_xlfn.IFS(
AND(D247&gt;=26,D247&lt;=30),"26–30",
AND(D247&gt;=31,D247&lt;=35),"31–35",
AND(D247&gt;=36,D247&lt;=40),"36–40",
AND(D247&gt;=41,D247&lt;=45),"41–45",
AND(D247&gt;=46,D247&lt;=50),"46–50",
AND(D247&gt;=51,D247&lt;=60),"51–60")</f>
        <v>46–50</v>
      </c>
    </row>
    <row r="248" spans="1:14" x14ac:dyDescent="0.35">
      <c r="A248" t="s">
        <v>521</v>
      </c>
      <c r="B248" t="s">
        <v>522</v>
      </c>
      <c r="C248" t="s">
        <v>41</v>
      </c>
      <c r="D248">
        <v>36</v>
      </c>
      <c r="E248" t="s">
        <v>81</v>
      </c>
      <c r="F248" t="s">
        <v>43</v>
      </c>
      <c r="G248" t="s">
        <v>53</v>
      </c>
      <c r="H248" s="1">
        <v>45430</v>
      </c>
      <c r="J248">
        <v>500000</v>
      </c>
      <c r="K248">
        <v>0</v>
      </c>
      <c r="L248" t="s">
        <v>24</v>
      </c>
      <c r="M248">
        <f ca="1">IF(ISBLANK(Table1[[#This Row],[Exit]]),DATEDIF(Table1[[#This Row],[Hire]],TODAY(),"Y"),DATEDIF(Table1[[#This Row],[Hire]],Table1[[#This Row],[Exit]],"Y"))</f>
        <v>1</v>
      </c>
      <c r="N248" t="str" cm="1">
        <f t="array" ref="N248">_xlfn.IFS(
AND(D248&gt;=26,D248&lt;=30),"26–30",
AND(D248&gt;=31,D248&lt;=35),"31–35",
AND(D248&gt;=36,D248&lt;=40),"36–40",
AND(D248&gt;=41,D248&lt;=45),"41–45",
AND(D248&gt;=46,D248&lt;=50),"46–50",
AND(D248&gt;=51,D248&lt;=60),"51–60")</f>
        <v>36–40</v>
      </c>
    </row>
    <row r="249" spans="1:14" x14ac:dyDescent="0.35">
      <c r="A249" t="s">
        <v>523</v>
      </c>
      <c r="B249" t="s">
        <v>524</v>
      </c>
      <c r="C249" t="s">
        <v>14</v>
      </c>
      <c r="D249">
        <v>41</v>
      </c>
      <c r="E249" t="s">
        <v>52</v>
      </c>
      <c r="F249" t="s">
        <v>16</v>
      </c>
      <c r="G249" t="s">
        <v>17</v>
      </c>
      <c r="H249" s="1">
        <v>44509</v>
      </c>
      <c r="J249">
        <v>502000</v>
      </c>
      <c r="K249">
        <v>0</v>
      </c>
      <c r="L249" t="s">
        <v>24</v>
      </c>
      <c r="M249">
        <f ca="1">IF(ISBLANK(Table1[[#This Row],[Exit]]),DATEDIF(Table1[[#This Row],[Hire]],TODAY(),"Y"),DATEDIF(Table1[[#This Row],[Hire]],Table1[[#This Row],[Exit]],"Y"))</f>
        <v>4</v>
      </c>
      <c r="N249" t="str" cm="1">
        <f t="array" ref="N249">_xlfn.IFS(
AND(D249&gt;=26,D249&lt;=30),"26–30",
AND(D249&gt;=31,D249&lt;=35),"31–35",
AND(D249&gt;=36,D249&lt;=40),"36–40",
AND(D249&gt;=41,D249&lt;=45),"41–45",
AND(D249&gt;=46,D249&lt;=50),"46–50",
AND(D249&gt;=51,D249&lt;=60),"51–60")</f>
        <v>41–45</v>
      </c>
    </row>
    <row r="250" spans="1:14" x14ac:dyDescent="0.35">
      <c r="A250" t="s">
        <v>525</v>
      </c>
      <c r="B250" t="s">
        <v>526</v>
      </c>
      <c r="C250" t="s">
        <v>21</v>
      </c>
      <c r="D250">
        <v>31</v>
      </c>
      <c r="E250" t="s">
        <v>66</v>
      </c>
      <c r="F250" t="s">
        <v>16</v>
      </c>
      <c r="G250" t="s">
        <v>23</v>
      </c>
      <c r="H250" s="1">
        <v>43963</v>
      </c>
      <c r="J250">
        <v>504000</v>
      </c>
      <c r="K250">
        <v>0.23</v>
      </c>
      <c r="L250" t="s">
        <v>24</v>
      </c>
      <c r="M250">
        <f ca="1">IF(ISBLANK(Table1[[#This Row],[Exit]]),DATEDIF(Table1[[#This Row],[Hire]],TODAY(),"Y"),DATEDIF(Table1[[#This Row],[Hire]],Table1[[#This Row],[Exit]],"Y"))</f>
        <v>5</v>
      </c>
      <c r="N250" t="str" cm="1">
        <f t="array" ref="N250">_xlfn.IFS(
AND(D250&gt;=26,D250&lt;=30),"26–30",
AND(D250&gt;=31,D250&lt;=35),"31–35",
AND(D250&gt;=36,D250&lt;=40),"36–40",
AND(D250&gt;=41,D250&lt;=45),"41–45",
AND(D250&gt;=46,D250&lt;=50),"46–50",
AND(D250&gt;=51,D250&lt;=60),"51–60")</f>
        <v>31–35</v>
      </c>
    </row>
    <row r="251" spans="1:14" x14ac:dyDescent="0.35">
      <c r="A251" t="s">
        <v>35</v>
      </c>
      <c r="B251" t="s">
        <v>527</v>
      </c>
      <c r="C251" t="s">
        <v>41</v>
      </c>
      <c r="D251">
        <v>31</v>
      </c>
      <c r="E251" t="s">
        <v>31</v>
      </c>
      <c r="F251" t="s">
        <v>16</v>
      </c>
      <c r="G251" t="s">
        <v>53</v>
      </c>
      <c r="H251" s="1">
        <v>44815</v>
      </c>
      <c r="J251">
        <v>506000</v>
      </c>
      <c r="K251">
        <v>0</v>
      </c>
      <c r="L251" t="s">
        <v>24</v>
      </c>
      <c r="M251">
        <f ca="1">IF(ISBLANK(Table1[[#This Row],[Exit]]),DATEDIF(Table1[[#This Row],[Hire]],TODAY(),"Y"),DATEDIF(Table1[[#This Row],[Hire]],Table1[[#This Row],[Exit]],"Y"))</f>
        <v>3</v>
      </c>
      <c r="N251" t="str" cm="1">
        <f t="array" ref="N251">_xlfn.IFS(
AND(D251&gt;=26,D251&lt;=30),"26–30",
AND(D251&gt;=31,D251&lt;=35),"31–35",
AND(D251&gt;=36,D251&lt;=40),"36–40",
AND(D251&gt;=41,D251&lt;=45),"41–45",
AND(D251&gt;=46,D251&lt;=50),"46–50",
AND(D251&gt;=51,D251&lt;=60),"51–60")</f>
        <v>31–35</v>
      </c>
    </row>
    <row r="252" spans="1:14" x14ac:dyDescent="0.35">
      <c r="A252" t="s">
        <v>528</v>
      </c>
      <c r="B252" t="s">
        <v>529</v>
      </c>
      <c r="C252" t="s">
        <v>14</v>
      </c>
      <c r="D252">
        <v>38</v>
      </c>
      <c r="E252" t="s">
        <v>81</v>
      </c>
      <c r="F252" t="s">
        <v>49</v>
      </c>
      <c r="G252" t="s">
        <v>34</v>
      </c>
      <c r="H252" s="1">
        <v>44857</v>
      </c>
      <c r="J252">
        <v>508000</v>
      </c>
      <c r="K252">
        <v>0</v>
      </c>
      <c r="L252" t="s">
        <v>24</v>
      </c>
      <c r="M252">
        <f ca="1">IF(ISBLANK(Table1[[#This Row],[Exit]]),DATEDIF(Table1[[#This Row],[Hire]],TODAY(),"Y"),DATEDIF(Table1[[#This Row],[Hire]],Table1[[#This Row],[Exit]],"Y"))</f>
        <v>3</v>
      </c>
      <c r="N252" t="str" cm="1">
        <f t="array" ref="N252">_xlfn.IFS(
AND(D252&gt;=26,D252&lt;=30),"26–30",
AND(D252&gt;=31,D252&lt;=35),"31–35",
AND(D252&gt;=36,D252&lt;=40),"36–40",
AND(D252&gt;=41,D252&lt;=45),"41–45",
AND(D252&gt;=46,D252&lt;=50),"46–50",
AND(D252&gt;=51,D252&lt;=60),"51–60")</f>
        <v>36–40</v>
      </c>
    </row>
    <row r="253" spans="1:14" x14ac:dyDescent="0.35">
      <c r="A253" t="s">
        <v>530</v>
      </c>
      <c r="B253" t="s">
        <v>531</v>
      </c>
      <c r="C253" t="s">
        <v>21</v>
      </c>
      <c r="D253">
        <v>31</v>
      </c>
      <c r="E253" t="s">
        <v>92</v>
      </c>
      <c r="F253" t="s">
        <v>59</v>
      </c>
      <c r="G253" t="s">
        <v>53</v>
      </c>
      <c r="H253" s="1">
        <v>45527</v>
      </c>
      <c r="J253">
        <v>510000</v>
      </c>
      <c r="K253">
        <v>0.15</v>
      </c>
      <c r="L253" t="s">
        <v>24</v>
      </c>
      <c r="M253">
        <f ca="1">IF(ISBLANK(Table1[[#This Row],[Exit]]),DATEDIF(Table1[[#This Row],[Hire]],TODAY(),"Y"),DATEDIF(Table1[[#This Row],[Hire]],Table1[[#This Row],[Exit]],"Y"))</f>
        <v>1</v>
      </c>
      <c r="N253" t="str" cm="1">
        <f t="array" ref="N253">_xlfn.IFS(
AND(D253&gt;=26,D253&lt;=30),"26–30",
AND(D253&gt;=31,D253&lt;=35),"31–35",
AND(D253&gt;=36,D253&lt;=40),"36–40",
AND(D253&gt;=41,D253&lt;=45),"41–45",
AND(D253&gt;=46,D253&lt;=50),"46–50",
AND(D253&gt;=51,D253&lt;=60),"51–60")</f>
        <v>31–35</v>
      </c>
    </row>
    <row r="254" spans="1:14" x14ac:dyDescent="0.35">
      <c r="A254" t="s">
        <v>532</v>
      </c>
      <c r="B254" t="s">
        <v>533</v>
      </c>
      <c r="C254" t="s">
        <v>21</v>
      </c>
      <c r="D254">
        <v>39</v>
      </c>
      <c r="E254" t="s">
        <v>81</v>
      </c>
      <c r="F254" t="s">
        <v>46</v>
      </c>
      <c r="G254" t="s">
        <v>23</v>
      </c>
      <c r="H254" s="1">
        <v>45237</v>
      </c>
      <c r="J254">
        <v>512000</v>
      </c>
      <c r="K254">
        <v>0</v>
      </c>
      <c r="L254" t="s">
        <v>24</v>
      </c>
      <c r="M254">
        <f ca="1">IF(ISBLANK(Table1[[#This Row],[Exit]]),DATEDIF(Table1[[#This Row],[Hire]],TODAY(),"Y"),DATEDIF(Table1[[#This Row],[Hire]],Table1[[#This Row],[Exit]],"Y"))</f>
        <v>2</v>
      </c>
      <c r="N254" t="str" cm="1">
        <f t="array" ref="N254">_xlfn.IFS(
AND(D254&gt;=26,D254&lt;=30),"26–30",
AND(D254&gt;=31,D254&lt;=35),"31–35",
AND(D254&gt;=36,D254&lt;=40),"36–40",
AND(D254&gt;=41,D254&lt;=45),"41–45",
AND(D254&gt;=46,D254&lt;=50),"46–50",
AND(D254&gt;=51,D254&lt;=60),"51–60")</f>
        <v>36–40</v>
      </c>
    </row>
    <row r="255" spans="1:14" x14ac:dyDescent="0.35">
      <c r="A255" t="s">
        <v>200</v>
      </c>
      <c r="B255" t="s">
        <v>534</v>
      </c>
      <c r="C255" t="s">
        <v>21</v>
      </c>
      <c r="D255">
        <v>31</v>
      </c>
      <c r="E255" t="s">
        <v>22</v>
      </c>
      <c r="F255" t="s">
        <v>16</v>
      </c>
      <c r="G255" t="s">
        <v>34</v>
      </c>
      <c r="H255" s="1">
        <v>45206</v>
      </c>
      <c r="J255">
        <v>514000</v>
      </c>
      <c r="K255">
        <v>0</v>
      </c>
      <c r="L255" t="s">
        <v>24</v>
      </c>
      <c r="M255">
        <f ca="1">IF(ISBLANK(Table1[[#This Row],[Exit]]),DATEDIF(Table1[[#This Row],[Hire]],TODAY(),"Y"),DATEDIF(Table1[[#This Row],[Hire]],Table1[[#This Row],[Exit]],"Y"))</f>
        <v>2</v>
      </c>
      <c r="N255" t="str" cm="1">
        <f t="array" ref="N255">_xlfn.IFS(
AND(D255&gt;=26,D255&lt;=30),"26–30",
AND(D255&gt;=31,D255&lt;=35),"31–35",
AND(D255&gt;=36,D255&lt;=40),"36–40",
AND(D255&gt;=41,D255&lt;=45),"41–45",
AND(D255&gt;=46,D255&lt;=50),"46–50",
AND(D255&gt;=51,D255&lt;=60),"51–60")</f>
        <v>31–35</v>
      </c>
    </row>
    <row r="256" spans="1:14" x14ac:dyDescent="0.35">
      <c r="A256" t="s">
        <v>535</v>
      </c>
      <c r="B256" t="s">
        <v>536</v>
      </c>
      <c r="C256" t="s">
        <v>14</v>
      </c>
      <c r="D256">
        <v>45</v>
      </c>
      <c r="E256" t="s">
        <v>92</v>
      </c>
      <c r="F256" t="s">
        <v>59</v>
      </c>
      <c r="G256" t="s">
        <v>34</v>
      </c>
      <c r="H256" s="1">
        <v>44677</v>
      </c>
      <c r="J256">
        <v>516000</v>
      </c>
      <c r="K256">
        <v>0.31</v>
      </c>
      <c r="L256" t="s">
        <v>24</v>
      </c>
      <c r="M256">
        <f ca="1">IF(ISBLANK(Table1[[#This Row],[Exit]]),DATEDIF(Table1[[#This Row],[Hire]],TODAY(),"Y"),DATEDIF(Table1[[#This Row],[Hire]],Table1[[#This Row],[Exit]],"Y"))</f>
        <v>3</v>
      </c>
      <c r="N256" t="str" cm="1">
        <f t="array" ref="N256">_xlfn.IFS(
AND(D256&gt;=26,D256&lt;=30),"26–30",
AND(D256&gt;=31,D256&lt;=35),"31–35",
AND(D256&gt;=36,D256&lt;=40),"36–40",
AND(D256&gt;=41,D256&lt;=45),"41–45",
AND(D256&gt;=46,D256&lt;=50),"46–50",
AND(D256&gt;=51,D256&lt;=60),"51–60")</f>
        <v>41–45</v>
      </c>
    </row>
    <row r="257" spans="1:14" x14ac:dyDescent="0.35">
      <c r="A257" t="s">
        <v>37</v>
      </c>
      <c r="B257" t="s">
        <v>537</v>
      </c>
      <c r="C257" t="s">
        <v>14</v>
      </c>
      <c r="D257">
        <v>50</v>
      </c>
      <c r="E257" t="s">
        <v>31</v>
      </c>
      <c r="F257" t="s">
        <v>16</v>
      </c>
      <c r="G257" t="s">
        <v>17</v>
      </c>
      <c r="H257" s="1">
        <v>43889</v>
      </c>
      <c r="J257">
        <v>518000</v>
      </c>
      <c r="K257">
        <v>0</v>
      </c>
      <c r="L257" t="s">
        <v>24</v>
      </c>
      <c r="M257">
        <f ca="1">IF(ISBLANK(Table1[[#This Row],[Exit]]),DATEDIF(Table1[[#This Row],[Hire]],TODAY(),"Y"),DATEDIF(Table1[[#This Row],[Hire]],Table1[[#This Row],[Exit]],"Y"))</f>
        <v>5</v>
      </c>
      <c r="N257" t="str" cm="1">
        <f t="array" ref="N257">_xlfn.IFS(
AND(D257&gt;=26,D257&lt;=30),"26–30",
AND(D257&gt;=31,D257&lt;=35),"31–35",
AND(D257&gt;=36,D257&lt;=40),"36–40",
AND(D257&gt;=41,D257&lt;=45),"41–45",
AND(D257&gt;=46,D257&lt;=50),"46–50",
AND(D257&gt;=51,D257&lt;=60),"51–60")</f>
        <v>46–50</v>
      </c>
    </row>
    <row r="258" spans="1:14" x14ac:dyDescent="0.35">
      <c r="A258" t="s">
        <v>538</v>
      </c>
      <c r="B258" t="s">
        <v>539</v>
      </c>
      <c r="C258" t="s">
        <v>21</v>
      </c>
      <c r="D258">
        <v>36</v>
      </c>
      <c r="E258" t="s">
        <v>15</v>
      </c>
      <c r="F258" t="s">
        <v>16</v>
      </c>
      <c r="G258" t="s">
        <v>17</v>
      </c>
      <c r="H258" s="1">
        <v>44116</v>
      </c>
      <c r="J258">
        <v>520000</v>
      </c>
      <c r="K258">
        <v>0</v>
      </c>
      <c r="L258" t="s">
        <v>24</v>
      </c>
      <c r="M258">
        <f ca="1">IF(ISBLANK(Table1[[#This Row],[Exit]]),DATEDIF(Table1[[#This Row],[Hire]],TODAY(),"Y"),DATEDIF(Table1[[#This Row],[Hire]],Table1[[#This Row],[Exit]],"Y"))</f>
        <v>5</v>
      </c>
      <c r="N258" t="str" cm="1">
        <f t="array" ref="N258">_xlfn.IFS(
AND(D258&gt;=26,D258&lt;=30),"26–30",
AND(D258&gt;=31,D258&lt;=35),"31–35",
AND(D258&gt;=36,D258&lt;=40),"36–40",
AND(D258&gt;=41,D258&lt;=45),"41–45",
AND(D258&gt;=46,D258&lt;=50),"46–50",
AND(D258&gt;=51,D258&lt;=60),"51–60")</f>
        <v>36–40</v>
      </c>
    </row>
    <row r="259" spans="1:14" x14ac:dyDescent="0.35">
      <c r="A259" t="s">
        <v>540</v>
      </c>
      <c r="B259" t="s">
        <v>541</v>
      </c>
      <c r="C259" t="s">
        <v>14</v>
      </c>
      <c r="D259">
        <v>45</v>
      </c>
      <c r="E259" t="s">
        <v>22</v>
      </c>
      <c r="F259" t="s">
        <v>16</v>
      </c>
      <c r="G259" t="s">
        <v>23</v>
      </c>
      <c r="H259" s="1">
        <v>44588</v>
      </c>
      <c r="J259">
        <v>522000</v>
      </c>
      <c r="K259">
        <v>0.39</v>
      </c>
      <c r="L259" t="s">
        <v>24</v>
      </c>
      <c r="M259">
        <f ca="1">IF(ISBLANK(Table1[[#This Row],[Exit]]),DATEDIF(Table1[[#This Row],[Hire]],TODAY(),"Y"),DATEDIF(Table1[[#This Row],[Hire]],Table1[[#This Row],[Exit]],"Y"))</f>
        <v>4</v>
      </c>
      <c r="N259" t="str" cm="1">
        <f t="array" ref="N259">_xlfn.IFS(
AND(D259&gt;=26,D259&lt;=30),"26–30",
AND(D259&gt;=31,D259&lt;=35),"31–35",
AND(D259&gt;=36,D259&lt;=40),"36–40",
AND(D259&gt;=41,D259&lt;=45),"41–45",
AND(D259&gt;=46,D259&lt;=50),"46–50",
AND(D259&gt;=51,D259&lt;=60),"51–60")</f>
        <v>41–45</v>
      </c>
    </row>
    <row r="260" spans="1:14" x14ac:dyDescent="0.35">
      <c r="A260" t="s">
        <v>542</v>
      </c>
      <c r="B260" t="s">
        <v>543</v>
      </c>
      <c r="C260" t="s">
        <v>14</v>
      </c>
      <c r="D260">
        <v>29</v>
      </c>
      <c r="E260" t="s">
        <v>27</v>
      </c>
      <c r="F260" t="s">
        <v>28</v>
      </c>
      <c r="G260" t="s">
        <v>17</v>
      </c>
      <c r="H260" s="1">
        <v>45337</v>
      </c>
      <c r="J260">
        <v>524000</v>
      </c>
      <c r="K260">
        <v>0</v>
      </c>
      <c r="L260" t="s">
        <v>24</v>
      </c>
      <c r="M260">
        <f ca="1">IF(ISBLANK(Table1[[#This Row],[Exit]]),DATEDIF(Table1[[#This Row],[Hire]],TODAY(),"Y"),DATEDIF(Table1[[#This Row],[Hire]],Table1[[#This Row],[Exit]],"Y"))</f>
        <v>1</v>
      </c>
      <c r="N260" t="str" cm="1">
        <f t="array" ref="N260">_xlfn.IFS(
AND(D260&gt;=26,D260&lt;=30),"26–30",
AND(D260&gt;=31,D260&lt;=35),"31–35",
AND(D260&gt;=36,D260&lt;=40),"36–40",
AND(D260&gt;=41,D260&lt;=45),"41–45",
AND(D260&gt;=46,D260&lt;=50),"46–50",
AND(D260&gt;=51,D260&lt;=60),"51–60")</f>
        <v>26–30</v>
      </c>
    </row>
    <row r="261" spans="1:14" x14ac:dyDescent="0.35">
      <c r="A261" t="s">
        <v>544</v>
      </c>
      <c r="B261" t="s">
        <v>545</v>
      </c>
      <c r="C261" t="s">
        <v>14</v>
      </c>
      <c r="D261">
        <v>41</v>
      </c>
      <c r="E261" t="s">
        <v>31</v>
      </c>
      <c r="F261" t="s">
        <v>16</v>
      </c>
      <c r="G261" t="s">
        <v>23</v>
      </c>
      <c r="H261" s="1">
        <v>45332</v>
      </c>
      <c r="J261">
        <v>526000</v>
      </c>
      <c r="K261">
        <v>0</v>
      </c>
      <c r="L261" t="s">
        <v>24</v>
      </c>
      <c r="M261">
        <f ca="1">IF(ISBLANK(Table1[[#This Row],[Exit]]),DATEDIF(Table1[[#This Row],[Hire]],TODAY(),"Y"),DATEDIF(Table1[[#This Row],[Hire]],Table1[[#This Row],[Exit]],"Y"))</f>
        <v>1</v>
      </c>
      <c r="N261" t="str" cm="1">
        <f t="array" ref="N261">_xlfn.IFS(
AND(D261&gt;=26,D261&lt;=30),"26–30",
AND(D261&gt;=31,D261&lt;=35),"31–35",
AND(D261&gt;=36,D261&lt;=40),"36–40",
AND(D261&gt;=41,D261&lt;=45),"41–45",
AND(D261&gt;=46,D261&lt;=50),"46–50",
AND(D261&gt;=51,D261&lt;=60),"51–60")</f>
        <v>41–45</v>
      </c>
    </row>
    <row r="262" spans="1:14" x14ac:dyDescent="0.35">
      <c r="A262" t="s">
        <v>546</v>
      </c>
      <c r="B262" t="s">
        <v>547</v>
      </c>
      <c r="C262" t="s">
        <v>14</v>
      </c>
      <c r="D262">
        <v>47</v>
      </c>
      <c r="E262" t="s">
        <v>27</v>
      </c>
      <c r="F262" t="s">
        <v>28</v>
      </c>
      <c r="G262" t="s">
        <v>34</v>
      </c>
      <c r="H262" s="1">
        <v>44183</v>
      </c>
      <c r="J262">
        <v>528000</v>
      </c>
      <c r="K262">
        <v>0</v>
      </c>
      <c r="L262" t="s">
        <v>24</v>
      </c>
      <c r="M262">
        <f ca="1">IF(ISBLANK(Table1[[#This Row],[Exit]]),DATEDIF(Table1[[#This Row],[Hire]],TODAY(),"Y"),DATEDIF(Table1[[#This Row],[Hire]],Table1[[#This Row],[Exit]],"Y"))</f>
        <v>5</v>
      </c>
      <c r="N262" t="str" cm="1">
        <f t="array" ref="N262">_xlfn.IFS(
AND(D262&gt;=26,D262&lt;=30),"26–30",
AND(D262&gt;=31,D262&lt;=35),"31–35",
AND(D262&gt;=36,D262&lt;=40),"36–40",
AND(D262&gt;=41,D262&lt;=45),"41–45",
AND(D262&gt;=46,D262&lt;=50),"46–50",
AND(D262&gt;=51,D262&lt;=60),"51–60")</f>
        <v>46–50</v>
      </c>
    </row>
    <row r="263" spans="1:14" x14ac:dyDescent="0.35">
      <c r="A263" t="s">
        <v>548</v>
      </c>
      <c r="B263" t="s">
        <v>549</v>
      </c>
      <c r="C263" t="s">
        <v>21</v>
      </c>
      <c r="D263">
        <v>38</v>
      </c>
      <c r="E263" t="s">
        <v>15</v>
      </c>
      <c r="F263" t="s">
        <v>16</v>
      </c>
      <c r="G263" t="s">
        <v>23</v>
      </c>
      <c r="H263" s="1">
        <v>43837</v>
      </c>
      <c r="J263">
        <v>530000</v>
      </c>
      <c r="K263">
        <v>0.15</v>
      </c>
      <c r="L263" t="s">
        <v>24</v>
      </c>
      <c r="M263">
        <f ca="1">IF(ISBLANK(Table1[[#This Row],[Exit]]),DATEDIF(Table1[[#This Row],[Hire]],TODAY(),"Y"),DATEDIF(Table1[[#This Row],[Hire]],Table1[[#This Row],[Exit]],"Y"))</f>
        <v>6</v>
      </c>
      <c r="N263" t="str" cm="1">
        <f t="array" ref="N263">_xlfn.IFS(
AND(D263&gt;=26,D263&lt;=30),"26–30",
AND(D263&gt;=31,D263&lt;=35),"31–35",
AND(D263&gt;=36,D263&lt;=40),"36–40",
AND(D263&gt;=41,D263&lt;=45),"41–45",
AND(D263&gt;=46,D263&lt;=50),"46–50",
AND(D263&gt;=51,D263&lt;=60),"51–60")</f>
        <v>36–40</v>
      </c>
    </row>
    <row r="264" spans="1:14" x14ac:dyDescent="0.35">
      <c r="A264" t="s">
        <v>550</v>
      </c>
      <c r="B264" t="s">
        <v>551</v>
      </c>
      <c r="C264" t="s">
        <v>14</v>
      </c>
      <c r="D264">
        <v>40</v>
      </c>
      <c r="E264" t="s">
        <v>15</v>
      </c>
      <c r="F264" t="s">
        <v>16</v>
      </c>
      <c r="G264" t="s">
        <v>34</v>
      </c>
      <c r="H264" s="1">
        <v>45206</v>
      </c>
      <c r="J264">
        <v>532000</v>
      </c>
      <c r="K264">
        <v>0</v>
      </c>
      <c r="L264" t="s">
        <v>24</v>
      </c>
      <c r="M264">
        <f ca="1">IF(ISBLANK(Table1[[#This Row],[Exit]]),DATEDIF(Table1[[#This Row],[Hire]],TODAY(),"Y"),DATEDIF(Table1[[#This Row],[Hire]],Table1[[#This Row],[Exit]],"Y"))</f>
        <v>2</v>
      </c>
      <c r="N264" t="str" cm="1">
        <f t="array" ref="N264">_xlfn.IFS(
AND(D264&gt;=26,D264&lt;=30),"26–30",
AND(D264&gt;=31,D264&lt;=35),"31–35",
AND(D264&gt;=36,D264&lt;=40),"36–40",
AND(D264&gt;=41,D264&lt;=45),"41–45",
AND(D264&gt;=46,D264&lt;=50),"46–50",
AND(D264&gt;=51,D264&lt;=60),"51–60")</f>
        <v>36–40</v>
      </c>
    </row>
    <row r="265" spans="1:14" x14ac:dyDescent="0.35">
      <c r="A265" t="s">
        <v>552</v>
      </c>
      <c r="B265" t="s">
        <v>553</v>
      </c>
      <c r="C265" t="s">
        <v>14</v>
      </c>
      <c r="D265">
        <v>45</v>
      </c>
      <c r="E265" t="s">
        <v>42</v>
      </c>
      <c r="F265" t="s">
        <v>43</v>
      </c>
      <c r="G265" t="s">
        <v>34</v>
      </c>
      <c r="H265" s="1">
        <v>44487</v>
      </c>
      <c r="J265">
        <v>534000</v>
      </c>
      <c r="K265">
        <v>0.15</v>
      </c>
      <c r="L265" t="s">
        <v>24</v>
      </c>
      <c r="M265">
        <f ca="1">IF(ISBLANK(Table1[[#This Row],[Exit]]),DATEDIF(Table1[[#This Row],[Hire]],TODAY(),"Y"),DATEDIF(Table1[[#This Row],[Hire]],Table1[[#This Row],[Exit]],"Y"))</f>
        <v>4</v>
      </c>
      <c r="N265" t="str" cm="1">
        <f t="array" ref="N265">_xlfn.IFS(
AND(D265&gt;=26,D265&lt;=30),"26–30",
AND(D265&gt;=31,D265&lt;=35),"31–35",
AND(D265&gt;=36,D265&lt;=40),"36–40",
AND(D265&gt;=41,D265&lt;=45),"41–45",
AND(D265&gt;=46,D265&lt;=50),"46–50",
AND(D265&gt;=51,D265&lt;=60),"51–60")</f>
        <v>41–45</v>
      </c>
    </row>
    <row r="266" spans="1:14" x14ac:dyDescent="0.35">
      <c r="A266" t="s">
        <v>554</v>
      </c>
      <c r="B266" t="s">
        <v>555</v>
      </c>
      <c r="C266" t="s">
        <v>14</v>
      </c>
      <c r="D266">
        <v>26</v>
      </c>
      <c r="E266" t="s">
        <v>42</v>
      </c>
      <c r="F266" t="s">
        <v>46</v>
      </c>
      <c r="G266" t="s">
        <v>23</v>
      </c>
      <c r="H266" s="1">
        <v>44791</v>
      </c>
      <c r="I266" s="1">
        <v>45576</v>
      </c>
      <c r="J266">
        <v>536000</v>
      </c>
      <c r="K266">
        <v>0</v>
      </c>
      <c r="L266" t="s">
        <v>18</v>
      </c>
      <c r="M266">
        <f ca="1">IF(ISBLANK(Table1[[#This Row],[Exit]]),DATEDIF(Table1[[#This Row],[Hire]],TODAY(),"Y"),DATEDIF(Table1[[#This Row],[Hire]],Table1[[#This Row],[Exit]],"Y"))</f>
        <v>2</v>
      </c>
      <c r="N266" t="str" cm="1">
        <f t="array" ref="N266">_xlfn.IFS(
AND(D266&gt;=26,D266&lt;=30),"26–30",
AND(D266&gt;=31,D266&lt;=35),"31–35",
AND(D266&gt;=36,D266&lt;=40),"36–40",
AND(D266&gt;=41,D266&lt;=45),"41–45",
AND(D266&gt;=46,D266&lt;=50),"46–50",
AND(D266&gt;=51,D266&lt;=60),"51–60")</f>
        <v>26–30</v>
      </c>
    </row>
    <row r="267" spans="1:14" x14ac:dyDescent="0.35">
      <c r="A267" t="s">
        <v>556</v>
      </c>
      <c r="B267" t="s">
        <v>557</v>
      </c>
      <c r="C267" t="s">
        <v>21</v>
      </c>
      <c r="D267">
        <v>35</v>
      </c>
      <c r="E267" t="s">
        <v>42</v>
      </c>
      <c r="F267" t="s">
        <v>49</v>
      </c>
      <c r="G267" t="s">
        <v>17</v>
      </c>
      <c r="H267" s="1">
        <v>45440</v>
      </c>
      <c r="J267">
        <v>538000</v>
      </c>
      <c r="K267">
        <v>0.17</v>
      </c>
      <c r="L267" t="s">
        <v>24</v>
      </c>
      <c r="M267">
        <f ca="1">IF(ISBLANK(Table1[[#This Row],[Exit]]),DATEDIF(Table1[[#This Row],[Hire]],TODAY(),"Y"),DATEDIF(Table1[[#This Row],[Hire]],Table1[[#This Row],[Exit]],"Y"))</f>
        <v>1</v>
      </c>
      <c r="N267" t="str" cm="1">
        <f t="array" ref="N267">_xlfn.IFS(
AND(D267&gt;=26,D267&lt;=30),"26–30",
AND(D267&gt;=31,D267&lt;=35),"31–35",
AND(D267&gt;=36,D267&lt;=40),"36–40",
AND(D267&gt;=41,D267&lt;=45),"41–45",
AND(D267&gt;=46,D267&lt;=50),"46–50",
AND(D267&gt;=51,D267&lt;=60),"51–60")</f>
        <v>31–35</v>
      </c>
    </row>
    <row r="268" spans="1:14" x14ac:dyDescent="0.35">
      <c r="A268" t="s">
        <v>558</v>
      </c>
      <c r="B268" t="s">
        <v>559</v>
      </c>
      <c r="C268" t="s">
        <v>21</v>
      </c>
      <c r="D268">
        <v>31</v>
      </c>
      <c r="E268" t="s">
        <v>52</v>
      </c>
      <c r="F268" t="s">
        <v>16</v>
      </c>
      <c r="G268" t="s">
        <v>53</v>
      </c>
      <c r="H268" s="1">
        <v>44811</v>
      </c>
      <c r="J268">
        <v>540000</v>
      </c>
      <c r="K268">
        <v>0</v>
      </c>
      <c r="L268" t="s">
        <v>24</v>
      </c>
      <c r="M268">
        <f ca="1">IF(ISBLANK(Table1[[#This Row],[Exit]]),DATEDIF(Table1[[#This Row],[Hire]],TODAY(),"Y"),DATEDIF(Table1[[#This Row],[Hire]],Table1[[#This Row],[Exit]],"Y"))</f>
        <v>3</v>
      </c>
      <c r="N268" t="str" cm="1">
        <f t="array" ref="N268">_xlfn.IFS(
AND(D268&gt;=26,D268&lt;=30),"26–30",
AND(D268&gt;=31,D268&lt;=35),"31–35",
AND(D268&gt;=36,D268&lt;=40),"36–40",
AND(D268&gt;=41,D268&lt;=45),"41–45",
AND(D268&gt;=46,D268&lt;=50),"46–50",
AND(D268&gt;=51,D268&lt;=60),"51–60")</f>
        <v>31–35</v>
      </c>
    </row>
    <row r="269" spans="1:14" x14ac:dyDescent="0.35">
      <c r="A269" t="s">
        <v>560</v>
      </c>
      <c r="B269" t="s">
        <v>561</v>
      </c>
      <c r="C269" t="s">
        <v>41</v>
      </c>
      <c r="D269">
        <v>35</v>
      </c>
      <c r="E269" t="s">
        <v>42</v>
      </c>
      <c r="F269" t="s">
        <v>46</v>
      </c>
      <c r="G269" t="s">
        <v>53</v>
      </c>
      <c r="H269" s="1">
        <v>45294</v>
      </c>
      <c r="J269">
        <v>542000</v>
      </c>
      <c r="K269">
        <v>0.14000000000000001</v>
      </c>
      <c r="L269" t="s">
        <v>24</v>
      </c>
      <c r="M269">
        <f ca="1">IF(ISBLANK(Table1[[#This Row],[Exit]]),DATEDIF(Table1[[#This Row],[Hire]],TODAY(),"Y"),DATEDIF(Table1[[#This Row],[Hire]],Table1[[#This Row],[Exit]],"Y"))</f>
        <v>2</v>
      </c>
      <c r="N269" t="str" cm="1">
        <f t="array" ref="N269">_xlfn.IFS(
AND(D269&gt;=26,D269&lt;=30),"26–30",
AND(D269&gt;=31,D269&lt;=35),"31–35",
AND(D269&gt;=36,D269&lt;=40),"36–40",
AND(D269&gt;=41,D269&lt;=45),"41–45",
AND(D269&gt;=46,D269&lt;=50),"46–50",
AND(D269&gt;=51,D269&lt;=60),"51–60")</f>
        <v>31–35</v>
      </c>
    </row>
    <row r="270" spans="1:14" x14ac:dyDescent="0.35">
      <c r="A270" t="s">
        <v>562</v>
      </c>
      <c r="B270" t="s">
        <v>563</v>
      </c>
      <c r="C270" t="s">
        <v>14</v>
      </c>
      <c r="D270">
        <v>27</v>
      </c>
      <c r="E270" t="s">
        <v>58</v>
      </c>
      <c r="F270" t="s">
        <v>59</v>
      </c>
      <c r="G270" t="s">
        <v>34</v>
      </c>
      <c r="H270" s="1">
        <v>45074</v>
      </c>
      <c r="J270">
        <v>544000</v>
      </c>
      <c r="K270">
        <v>0.23</v>
      </c>
      <c r="L270" t="s">
        <v>24</v>
      </c>
      <c r="M270">
        <f ca="1">IF(ISBLANK(Table1[[#This Row],[Exit]]),DATEDIF(Table1[[#This Row],[Hire]],TODAY(),"Y"),DATEDIF(Table1[[#This Row],[Hire]],Table1[[#This Row],[Exit]],"Y"))</f>
        <v>2</v>
      </c>
      <c r="N270" t="str" cm="1">
        <f t="array" ref="N270">_xlfn.IFS(
AND(D270&gt;=26,D270&lt;=30),"26–30",
AND(D270&gt;=31,D270&lt;=35),"31–35",
AND(D270&gt;=36,D270&lt;=40),"36–40",
AND(D270&gt;=41,D270&lt;=45),"41–45",
AND(D270&gt;=46,D270&lt;=50),"46–50",
AND(D270&gt;=51,D270&lt;=60),"51–60")</f>
        <v>26–30</v>
      </c>
    </row>
    <row r="271" spans="1:14" x14ac:dyDescent="0.35">
      <c r="A271" t="s">
        <v>564</v>
      </c>
      <c r="B271" t="s">
        <v>565</v>
      </c>
      <c r="C271" t="s">
        <v>41</v>
      </c>
      <c r="D271">
        <v>31</v>
      </c>
      <c r="E271" t="s">
        <v>52</v>
      </c>
      <c r="F271" t="s">
        <v>16</v>
      </c>
      <c r="G271" t="s">
        <v>23</v>
      </c>
      <c r="H271" s="1">
        <v>45245</v>
      </c>
      <c r="J271">
        <v>546000</v>
      </c>
      <c r="K271">
        <v>0</v>
      </c>
      <c r="L271" t="s">
        <v>24</v>
      </c>
      <c r="M271">
        <f ca="1">IF(ISBLANK(Table1[[#This Row],[Exit]]),DATEDIF(Table1[[#This Row],[Hire]],TODAY(),"Y"),DATEDIF(Table1[[#This Row],[Hire]],Table1[[#This Row],[Exit]],"Y"))</f>
        <v>2</v>
      </c>
      <c r="N271" t="str" cm="1">
        <f t="array" ref="N271">_xlfn.IFS(
AND(D271&gt;=26,D271&lt;=30),"26–30",
AND(D271&gt;=31,D271&lt;=35),"31–35",
AND(D271&gt;=36,D271&lt;=40),"36–40",
AND(D271&gt;=41,D271&lt;=45),"41–45",
AND(D271&gt;=46,D271&lt;=50),"46–50",
AND(D271&gt;=51,D271&lt;=60),"51–60")</f>
        <v>31–35</v>
      </c>
    </row>
    <row r="272" spans="1:14" x14ac:dyDescent="0.35">
      <c r="A272" t="s">
        <v>566</v>
      </c>
      <c r="B272" t="s">
        <v>567</v>
      </c>
      <c r="C272" t="s">
        <v>14</v>
      </c>
      <c r="D272">
        <v>27</v>
      </c>
      <c r="E272" t="s">
        <v>52</v>
      </c>
      <c r="F272" t="s">
        <v>16</v>
      </c>
      <c r="G272" t="s">
        <v>34</v>
      </c>
      <c r="H272" s="1">
        <v>43851</v>
      </c>
      <c r="J272">
        <v>548000</v>
      </c>
      <c r="K272">
        <v>7.0000000000000007E-2</v>
      </c>
      <c r="L272" t="s">
        <v>24</v>
      </c>
      <c r="M272">
        <f ca="1">IF(ISBLANK(Table1[[#This Row],[Exit]]),DATEDIF(Table1[[#This Row],[Hire]],TODAY(),"Y"),DATEDIF(Table1[[#This Row],[Hire]],Table1[[#This Row],[Exit]],"Y"))</f>
        <v>6</v>
      </c>
      <c r="N272" t="str" cm="1">
        <f t="array" ref="N272">_xlfn.IFS(
AND(D272&gt;=26,D272&lt;=30),"26–30",
AND(D272&gt;=31,D272&lt;=35),"31–35",
AND(D272&gt;=36,D272&lt;=40),"36–40",
AND(D272&gt;=41,D272&lt;=45),"41–45",
AND(D272&gt;=46,D272&lt;=50),"46–50",
AND(D272&gt;=51,D272&lt;=60),"51–60")</f>
        <v>26–30</v>
      </c>
    </row>
    <row r="273" spans="1:14" x14ac:dyDescent="0.35">
      <c r="A273" t="s">
        <v>568</v>
      </c>
      <c r="B273" t="s">
        <v>569</v>
      </c>
      <c r="C273" t="s">
        <v>14</v>
      </c>
      <c r="D273">
        <v>30</v>
      </c>
      <c r="E273" t="s">
        <v>66</v>
      </c>
      <c r="F273" t="s">
        <v>16</v>
      </c>
      <c r="G273" t="s">
        <v>17</v>
      </c>
      <c r="H273" s="1">
        <v>45206</v>
      </c>
      <c r="I273" s="1">
        <v>45514</v>
      </c>
      <c r="J273">
        <v>550000</v>
      </c>
      <c r="K273">
        <v>0</v>
      </c>
      <c r="L273" t="s">
        <v>18</v>
      </c>
      <c r="M273">
        <f ca="1">IF(ISBLANK(Table1[[#This Row],[Exit]]),DATEDIF(Table1[[#This Row],[Hire]],TODAY(),"Y"),DATEDIF(Table1[[#This Row],[Hire]],Table1[[#This Row],[Exit]],"Y"))</f>
        <v>0</v>
      </c>
      <c r="N273" t="str" cm="1">
        <f t="array" ref="N273">_xlfn.IFS(
AND(D273&gt;=26,D273&lt;=30),"26–30",
AND(D273&gt;=31,D273&lt;=35),"31–35",
AND(D273&gt;=36,D273&lt;=40),"36–40",
AND(D273&gt;=41,D273&lt;=45),"41–45",
AND(D273&gt;=46,D273&lt;=50),"46–50",
AND(D273&gt;=51,D273&lt;=60),"51–60")</f>
        <v>26–30</v>
      </c>
    </row>
    <row r="274" spans="1:14" x14ac:dyDescent="0.35">
      <c r="A274" t="s">
        <v>570</v>
      </c>
      <c r="B274" t="s">
        <v>571</v>
      </c>
      <c r="C274" t="s">
        <v>21</v>
      </c>
      <c r="D274">
        <v>36</v>
      </c>
      <c r="E274" t="s">
        <v>58</v>
      </c>
      <c r="F274" t="s">
        <v>59</v>
      </c>
      <c r="G274" t="s">
        <v>23</v>
      </c>
      <c r="H274" s="1">
        <v>45401</v>
      </c>
      <c r="J274">
        <v>552000</v>
      </c>
      <c r="K274">
        <v>0</v>
      </c>
      <c r="L274" t="s">
        <v>24</v>
      </c>
      <c r="M274">
        <f ca="1">IF(ISBLANK(Table1[[#This Row],[Exit]]),DATEDIF(Table1[[#This Row],[Hire]],TODAY(),"Y"),DATEDIF(Table1[[#This Row],[Hire]],Table1[[#This Row],[Exit]],"Y"))</f>
        <v>1</v>
      </c>
      <c r="N274" t="str" cm="1">
        <f t="array" ref="N274">_xlfn.IFS(
AND(D274&gt;=26,D274&lt;=30),"26–30",
AND(D274&gt;=31,D274&lt;=35),"31–35",
AND(D274&gt;=36,D274&lt;=40),"36–40",
AND(D274&gt;=41,D274&lt;=45),"41–45",
AND(D274&gt;=46,D274&lt;=50),"46–50",
AND(D274&gt;=51,D274&lt;=60),"51–60")</f>
        <v>36–40</v>
      </c>
    </row>
    <row r="275" spans="1:14" x14ac:dyDescent="0.35">
      <c r="A275" t="s">
        <v>572</v>
      </c>
      <c r="B275" t="s">
        <v>573</v>
      </c>
      <c r="C275" t="s">
        <v>14</v>
      </c>
      <c r="D275">
        <v>45</v>
      </c>
      <c r="E275" t="s">
        <v>66</v>
      </c>
      <c r="F275" t="s">
        <v>16</v>
      </c>
      <c r="G275" t="s">
        <v>34</v>
      </c>
      <c r="H275" s="1">
        <v>44083</v>
      </c>
      <c r="J275">
        <v>554000</v>
      </c>
      <c r="K275">
        <v>0</v>
      </c>
      <c r="L275" t="s">
        <v>24</v>
      </c>
      <c r="M275">
        <f ca="1">IF(ISBLANK(Table1[[#This Row],[Exit]]),DATEDIF(Table1[[#This Row],[Hire]],TODAY(),"Y"),DATEDIF(Table1[[#This Row],[Hire]],Table1[[#This Row],[Exit]],"Y"))</f>
        <v>5</v>
      </c>
      <c r="N275" t="str" cm="1">
        <f t="array" ref="N275">_xlfn.IFS(
AND(D275&gt;=26,D275&lt;=30),"26–30",
AND(D275&gt;=31,D275&lt;=35),"31–35",
AND(D275&gt;=36,D275&lt;=40),"36–40",
AND(D275&gt;=41,D275&lt;=45),"41–45",
AND(D275&gt;=46,D275&lt;=50),"46–50",
AND(D275&gt;=51,D275&lt;=60),"51–60")</f>
        <v>41–45</v>
      </c>
    </row>
    <row r="276" spans="1:14" x14ac:dyDescent="0.35">
      <c r="A276" t="s">
        <v>574</v>
      </c>
      <c r="B276" t="s">
        <v>575</v>
      </c>
      <c r="C276" t="s">
        <v>21</v>
      </c>
      <c r="D276">
        <v>37</v>
      </c>
      <c r="E276" t="s">
        <v>66</v>
      </c>
      <c r="F276" t="s">
        <v>16</v>
      </c>
      <c r="G276" t="s">
        <v>53</v>
      </c>
      <c r="H276" s="1">
        <v>45233</v>
      </c>
      <c r="J276">
        <v>556000</v>
      </c>
      <c r="K276">
        <v>0</v>
      </c>
      <c r="L276" t="s">
        <v>24</v>
      </c>
      <c r="M276">
        <f ca="1">IF(ISBLANK(Table1[[#This Row],[Exit]]),DATEDIF(Table1[[#This Row],[Hire]],TODAY(),"Y"),DATEDIF(Table1[[#This Row],[Hire]],Table1[[#This Row],[Exit]],"Y"))</f>
        <v>2</v>
      </c>
      <c r="N276" t="str" cm="1">
        <f t="array" ref="N276">_xlfn.IFS(
AND(D276&gt;=26,D276&lt;=30),"26–30",
AND(D276&gt;=31,D276&lt;=35),"31–35",
AND(D276&gt;=36,D276&lt;=40),"36–40",
AND(D276&gt;=41,D276&lt;=45),"41–45",
AND(D276&gt;=46,D276&lt;=50),"46–50",
AND(D276&gt;=51,D276&lt;=60),"51–60")</f>
        <v>36–40</v>
      </c>
    </row>
    <row r="277" spans="1:14" x14ac:dyDescent="0.35">
      <c r="A277" t="s">
        <v>576</v>
      </c>
      <c r="B277" t="s">
        <v>577</v>
      </c>
      <c r="C277" t="s">
        <v>21</v>
      </c>
      <c r="D277">
        <v>38</v>
      </c>
      <c r="E277" t="s">
        <v>58</v>
      </c>
      <c r="F277" t="s">
        <v>59</v>
      </c>
      <c r="G277" t="s">
        <v>53</v>
      </c>
      <c r="H277" s="1">
        <v>43951</v>
      </c>
      <c r="I277" s="1">
        <v>45134</v>
      </c>
      <c r="J277">
        <v>558000</v>
      </c>
      <c r="K277">
        <v>0.27</v>
      </c>
      <c r="L277" t="s">
        <v>18</v>
      </c>
      <c r="M277">
        <f ca="1">IF(ISBLANK(Table1[[#This Row],[Exit]]),DATEDIF(Table1[[#This Row],[Hire]],TODAY(),"Y"),DATEDIF(Table1[[#This Row],[Hire]],Table1[[#This Row],[Exit]],"Y"))</f>
        <v>3</v>
      </c>
      <c r="N277" t="str" cm="1">
        <f t="array" ref="N277">_xlfn.IFS(
AND(D277&gt;=26,D277&lt;=30),"26–30",
AND(D277&gt;=31,D277&lt;=35),"31–35",
AND(D277&gt;=36,D277&lt;=40),"36–40",
AND(D277&gt;=41,D277&lt;=45),"41–45",
AND(D277&gt;=46,D277&lt;=50),"46–50",
AND(D277&gt;=51,D277&lt;=60),"51–60")</f>
        <v>36–40</v>
      </c>
    </row>
    <row r="278" spans="1:14" x14ac:dyDescent="0.35">
      <c r="A278" t="s">
        <v>578</v>
      </c>
      <c r="B278" t="s">
        <v>579</v>
      </c>
      <c r="C278" t="s">
        <v>14</v>
      </c>
      <c r="D278">
        <v>45</v>
      </c>
      <c r="E278" t="s">
        <v>15</v>
      </c>
      <c r="F278" t="s">
        <v>16</v>
      </c>
      <c r="G278" t="s">
        <v>53</v>
      </c>
      <c r="H278" s="1">
        <v>43887</v>
      </c>
      <c r="J278">
        <v>560000</v>
      </c>
      <c r="K278">
        <v>0</v>
      </c>
      <c r="L278" t="s">
        <v>24</v>
      </c>
      <c r="M278">
        <f ca="1">IF(ISBLANK(Table1[[#This Row],[Exit]]),DATEDIF(Table1[[#This Row],[Hire]],TODAY(),"Y"),DATEDIF(Table1[[#This Row],[Hire]],Table1[[#This Row],[Exit]],"Y"))</f>
        <v>5</v>
      </c>
      <c r="N278" t="str" cm="1">
        <f t="array" ref="N278">_xlfn.IFS(
AND(D278&gt;=26,D278&lt;=30),"26–30",
AND(D278&gt;=31,D278&lt;=35),"31–35",
AND(D278&gt;=36,D278&lt;=40),"36–40",
AND(D278&gt;=41,D278&lt;=45),"41–45",
AND(D278&gt;=46,D278&lt;=50),"46–50",
AND(D278&gt;=51,D278&lt;=60),"51–60")</f>
        <v>41–45</v>
      </c>
    </row>
    <row r="279" spans="1:14" x14ac:dyDescent="0.35">
      <c r="A279" t="s">
        <v>580</v>
      </c>
      <c r="B279" t="s">
        <v>581</v>
      </c>
      <c r="C279" t="s">
        <v>14</v>
      </c>
      <c r="D279">
        <v>51</v>
      </c>
      <c r="E279" t="s">
        <v>22</v>
      </c>
      <c r="F279" t="s">
        <v>16</v>
      </c>
      <c r="G279" t="s">
        <v>53</v>
      </c>
      <c r="H279" s="1">
        <v>44815</v>
      </c>
      <c r="J279">
        <v>562000</v>
      </c>
      <c r="K279">
        <v>0</v>
      </c>
      <c r="L279" t="s">
        <v>24</v>
      </c>
      <c r="M279">
        <f ca="1">IF(ISBLANK(Table1[[#This Row],[Exit]]),DATEDIF(Table1[[#This Row],[Hire]],TODAY(),"Y"),DATEDIF(Table1[[#This Row],[Hire]],Table1[[#This Row],[Exit]],"Y"))</f>
        <v>3</v>
      </c>
      <c r="N279" t="str" cm="1">
        <f t="array" ref="N279">_xlfn.IFS(
AND(D279&gt;=26,D279&lt;=30),"26–30",
AND(D279&gt;=31,D279&lt;=35),"31–35",
AND(D279&gt;=36,D279&lt;=40),"36–40",
AND(D279&gt;=41,D279&lt;=45),"41–45",
AND(D279&gt;=46,D279&lt;=50),"46–50",
AND(D279&gt;=51,D279&lt;=60),"51–60")</f>
        <v>51–60</v>
      </c>
    </row>
    <row r="280" spans="1:14" x14ac:dyDescent="0.35">
      <c r="A280" t="s">
        <v>582</v>
      </c>
      <c r="B280" t="s">
        <v>583</v>
      </c>
      <c r="C280" t="s">
        <v>14</v>
      </c>
      <c r="D280">
        <v>56</v>
      </c>
      <c r="E280" t="s">
        <v>81</v>
      </c>
      <c r="F280" t="s">
        <v>43</v>
      </c>
      <c r="G280" t="s">
        <v>53</v>
      </c>
      <c r="H280" s="1">
        <v>45430</v>
      </c>
      <c r="J280">
        <v>564000</v>
      </c>
      <c r="K280">
        <v>0.15</v>
      </c>
      <c r="L280" t="s">
        <v>24</v>
      </c>
      <c r="M280">
        <f ca="1">IF(ISBLANK(Table1[[#This Row],[Exit]]),DATEDIF(Table1[[#This Row],[Hire]],TODAY(),"Y"),DATEDIF(Table1[[#This Row],[Hire]],Table1[[#This Row],[Exit]],"Y"))</f>
        <v>1</v>
      </c>
      <c r="N280" t="str" cm="1">
        <f t="array" ref="N280">_xlfn.IFS(
AND(D280&gt;=26,D280&lt;=30),"26–30",
AND(D280&gt;=31,D280&lt;=35),"31–35",
AND(D280&gt;=36,D280&lt;=40),"36–40",
AND(D280&gt;=41,D280&lt;=45),"41–45",
AND(D280&gt;=46,D280&lt;=50),"46–50",
AND(D280&gt;=51,D280&lt;=60),"51–60")</f>
        <v>51–60</v>
      </c>
    </row>
    <row r="281" spans="1:14" x14ac:dyDescent="0.35">
      <c r="A281" t="s">
        <v>584</v>
      </c>
      <c r="B281" t="s">
        <v>585</v>
      </c>
      <c r="C281" t="s">
        <v>14</v>
      </c>
      <c r="D281">
        <v>53</v>
      </c>
      <c r="E281" t="s">
        <v>52</v>
      </c>
      <c r="F281" t="s">
        <v>16</v>
      </c>
      <c r="G281" t="s">
        <v>17</v>
      </c>
      <c r="H281" s="1">
        <v>44509</v>
      </c>
      <c r="J281">
        <v>566000</v>
      </c>
      <c r="K281">
        <v>0.15</v>
      </c>
      <c r="L281" t="s">
        <v>24</v>
      </c>
      <c r="M281">
        <f ca="1">IF(ISBLANK(Table1[[#This Row],[Exit]]),DATEDIF(Table1[[#This Row],[Hire]],TODAY(),"Y"),DATEDIF(Table1[[#This Row],[Hire]],Table1[[#This Row],[Exit]],"Y"))</f>
        <v>4</v>
      </c>
      <c r="N281" t="str" cm="1">
        <f t="array" ref="N281">_xlfn.IFS(
AND(D281&gt;=26,D281&lt;=30),"26–30",
AND(D281&gt;=31,D281&lt;=35),"31–35",
AND(D281&gt;=36,D281&lt;=40),"36–40",
AND(D281&gt;=41,D281&lt;=45),"41–45",
AND(D281&gt;=46,D281&lt;=50),"46–50",
AND(D281&gt;=51,D281&lt;=60),"51–60")</f>
        <v>51–60</v>
      </c>
    </row>
    <row r="282" spans="1:14" x14ac:dyDescent="0.35">
      <c r="A282" t="s">
        <v>586</v>
      </c>
      <c r="B282" t="s">
        <v>587</v>
      </c>
      <c r="C282" t="s">
        <v>21</v>
      </c>
      <c r="D282">
        <v>47</v>
      </c>
      <c r="E282" t="s">
        <v>66</v>
      </c>
      <c r="F282" t="s">
        <v>16</v>
      </c>
      <c r="G282" t="s">
        <v>23</v>
      </c>
      <c r="H282" s="1">
        <v>43963</v>
      </c>
      <c r="J282">
        <v>568000</v>
      </c>
      <c r="K282">
        <v>0</v>
      </c>
      <c r="L282" t="s">
        <v>24</v>
      </c>
      <c r="M282">
        <f ca="1">IF(ISBLANK(Table1[[#This Row],[Exit]]),DATEDIF(Table1[[#This Row],[Hire]],TODAY(),"Y"),DATEDIF(Table1[[#This Row],[Hire]],Table1[[#This Row],[Exit]],"Y"))</f>
        <v>5</v>
      </c>
      <c r="N282" t="str" cm="1">
        <f t="array" ref="N282">_xlfn.IFS(
AND(D282&gt;=26,D282&lt;=30),"26–30",
AND(D282&gt;=31,D282&lt;=35),"31–35",
AND(D282&gt;=36,D282&lt;=40),"36–40",
AND(D282&gt;=41,D282&lt;=45),"41–45",
AND(D282&gt;=46,D282&lt;=50),"46–50",
AND(D282&gt;=51,D282&lt;=60),"51–60")</f>
        <v>46–50</v>
      </c>
    </row>
    <row r="283" spans="1:14" x14ac:dyDescent="0.35">
      <c r="A283" t="s">
        <v>588</v>
      </c>
      <c r="B283" t="s">
        <v>589</v>
      </c>
      <c r="C283" t="s">
        <v>41</v>
      </c>
      <c r="D283">
        <v>36</v>
      </c>
      <c r="E283" t="s">
        <v>31</v>
      </c>
      <c r="F283" t="s">
        <v>16</v>
      </c>
      <c r="G283" t="s">
        <v>53</v>
      </c>
      <c r="H283" s="1">
        <v>44815</v>
      </c>
      <c r="J283">
        <v>570000</v>
      </c>
      <c r="K283">
        <v>0.1</v>
      </c>
      <c r="L283" t="s">
        <v>24</v>
      </c>
      <c r="M283">
        <f ca="1">IF(ISBLANK(Table1[[#This Row],[Exit]]),DATEDIF(Table1[[#This Row],[Hire]],TODAY(),"Y"),DATEDIF(Table1[[#This Row],[Hire]],Table1[[#This Row],[Exit]],"Y"))</f>
        <v>3</v>
      </c>
      <c r="N283" t="str" cm="1">
        <f t="array" ref="N283">_xlfn.IFS(
AND(D283&gt;=26,D283&lt;=30),"26–30",
AND(D283&gt;=31,D283&lt;=35),"31–35",
AND(D283&gt;=36,D283&lt;=40),"36–40",
AND(D283&gt;=41,D283&lt;=45),"41–45",
AND(D283&gt;=46,D283&lt;=50),"46–50",
AND(D283&gt;=51,D283&lt;=60),"51–60")</f>
        <v>36–40</v>
      </c>
    </row>
    <row r="284" spans="1:14" x14ac:dyDescent="0.35">
      <c r="A284" t="s">
        <v>590</v>
      </c>
      <c r="B284" t="s">
        <v>591</v>
      </c>
      <c r="C284" t="s">
        <v>14</v>
      </c>
      <c r="D284">
        <v>41</v>
      </c>
      <c r="E284" t="s">
        <v>81</v>
      </c>
      <c r="F284" t="s">
        <v>49</v>
      </c>
      <c r="G284" t="s">
        <v>34</v>
      </c>
      <c r="H284" s="1">
        <v>44857</v>
      </c>
      <c r="J284">
        <v>572000</v>
      </c>
      <c r="K284">
        <v>0</v>
      </c>
      <c r="L284" t="s">
        <v>24</v>
      </c>
      <c r="M284">
        <f ca="1">IF(ISBLANK(Table1[[#This Row],[Exit]]),DATEDIF(Table1[[#This Row],[Hire]],TODAY(),"Y"),DATEDIF(Table1[[#This Row],[Hire]],Table1[[#This Row],[Exit]],"Y"))</f>
        <v>3</v>
      </c>
      <c r="N284" t="str" cm="1">
        <f t="array" ref="N284">_xlfn.IFS(
AND(D284&gt;=26,D284&lt;=30),"26–30",
AND(D284&gt;=31,D284&lt;=35),"31–35",
AND(D284&gt;=36,D284&lt;=40),"36–40",
AND(D284&gt;=41,D284&lt;=45),"41–45",
AND(D284&gt;=46,D284&lt;=50),"46–50",
AND(D284&gt;=51,D284&lt;=60),"51–60")</f>
        <v>41–45</v>
      </c>
    </row>
    <row r="285" spans="1:14" x14ac:dyDescent="0.35">
      <c r="A285" t="s">
        <v>592</v>
      </c>
      <c r="B285" t="s">
        <v>593</v>
      </c>
      <c r="C285" t="s">
        <v>14</v>
      </c>
      <c r="D285">
        <v>30</v>
      </c>
      <c r="E285" t="s">
        <v>92</v>
      </c>
      <c r="F285" t="s">
        <v>59</v>
      </c>
      <c r="G285" t="s">
        <v>53</v>
      </c>
      <c r="H285" s="1">
        <v>45527</v>
      </c>
      <c r="J285">
        <v>574000</v>
      </c>
      <c r="K285">
        <v>0</v>
      </c>
      <c r="L285" t="s">
        <v>24</v>
      </c>
      <c r="M285">
        <f ca="1">IF(ISBLANK(Table1[[#This Row],[Exit]]),DATEDIF(Table1[[#This Row],[Hire]],TODAY(),"Y"),DATEDIF(Table1[[#This Row],[Hire]],Table1[[#This Row],[Exit]],"Y"))</f>
        <v>1</v>
      </c>
      <c r="N285" t="str" cm="1">
        <f t="array" ref="N285">_xlfn.IFS(
AND(D285&gt;=26,D285&lt;=30),"26–30",
AND(D285&gt;=31,D285&lt;=35),"31–35",
AND(D285&gt;=36,D285&lt;=40),"36–40",
AND(D285&gt;=41,D285&lt;=45),"41–45",
AND(D285&gt;=46,D285&lt;=50),"46–50",
AND(D285&gt;=51,D285&lt;=60),"51–60")</f>
        <v>26–30</v>
      </c>
    </row>
    <row r="286" spans="1:14" x14ac:dyDescent="0.35">
      <c r="A286" t="s">
        <v>594</v>
      </c>
      <c r="B286" t="s">
        <v>595</v>
      </c>
      <c r="C286" t="s">
        <v>21</v>
      </c>
      <c r="D286">
        <v>31</v>
      </c>
      <c r="E286" t="s">
        <v>81</v>
      </c>
      <c r="F286" t="s">
        <v>46</v>
      </c>
      <c r="G286" t="s">
        <v>23</v>
      </c>
      <c r="H286" s="1">
        <v>45237</v>
      </c>
      <c r="J286">
        <v>576000</v>
      </c>
      <c r="K286">
        <v>0.14000000000000001</v>
      </c>
      <c r="L286" t="s">
        <v>24</v>
      </c>
      <c r="M286">
        <f ca="1">IF(ISBLANK(Table1[[#This Row],[Exit]]),DATEDIF(Table1[[#This Row],[Hire]],TODAY(),"Y"),DATEDIF(Table1[[#This Row],[Hire]],Table1[[#This Row],[Exit]],"Y"))</f>
        <v>2</v>
      </c>
      <c r="N286" t="str" cm="1">
        <f t="array" ref="N286">_xlfn.IFS(
AND(D286&gt;=26,D286&lt;=30),"26–30",
AND(D286&gt;=31,D286&lt;=35),"31–35",
AND(D286&gt;=36,D286&lt;=40),"36–40",
AND(D286&gt;=41,D286&lt;=45),"41–45",
AND(D286&gt;=46,D286&lt;=50),"46–50",
AND(D286&gt;=51,D286&lt;=60),"51–60")</f>
        <v>31–35</v>
      </c>
    </row>
    <row r="287" spans="1:14" x14ac:dyDescent="0.35">
      <c r="A287" t="s">
        <v>596</v>
      </c>
      <c r="B287" t="s">
        <v>597</v>
      </c>
      <c r="C287" t="s">
        <v>21</v>
      </c>
      <c r="D287">
        <v>38</v>
      </c>
      <c r="E287" t="s">
        <v>22</v>
      </c>
      <c r="F287" t="s">
        <v>16</v>
      </c>
      <c r="G287" t="s">
        <v>34</v>
      </c>
      <c r="H287" s="1">
        <v>45206</v>
      </c>
      <c r="J287">
        <v>578000</v>
      </c>
      <c r="K287">
        <v>0.15</v>
      </c>
      <c r="L287" t="s">
        <v>24</v>
      </c>
      <c r="M287">
        <f ca="1">IF(ISBLANK(Table1[[#This Row],[Exit]]),DATEDIF(Table1[[#This Row],[Hire]],TODAY(),"Y"),DATEDIF(Table1[[#This Row],[Hire]],Table1[[#This Row],[Exit]],"Y"))</f>
        <v>2</v>
      </c>
      <c r="N287" t="str" cm="1">
        <f t="array" ref="N287">_xlfn.IFS(
AND(D287&gt;=26,D287&lt;=30),"26–30",
AND(D287&gt;=31,D287&lt;=35),"31–35",
AND(D287&gt;=36,D287&lt;=40),"36–40",
AND(D287&gt;=41,D287&lt;=45),"41–45",
AND(D287&gt;=46,D287&lt;=50),"46–50",
AND(D287&gt;=51,D287&lt;=60),"51–60")</f>
        <v>36–40</v>
      </c>
    </row>
    <row r="288" spans="1:14" x14ac:dyDescent="0.35">
      <c r="A288" t="s">
        <v>598</v>
      </c>
      <c r="B288" t="s">
        <v>599</v>
      </c>
      <c r="C288" t="s">
        <v>21</v>
      </c>
      <c r="D288">
        <v>31</v>
      </c>
      <c r="E288" t="s">
        <v>92</v>
      </c>
      <c r="F288" t="s">
        <v>59</v>
      </c>
      <c r="G288" t="s">
        <v>34</v>
      </c>
      <c r="H288" s="1">
        <v>44677</v>
      </c>
      <c r="J288">
        <v>580000</v>
      </c>
      <c r="K288">
        <v>0</v>
      </c>
      <c r="L288" t="s">
        <v>24</v>
      </c>
      <c r="M288">
        <f ca="1">IF(ISBLANK(Table1[[#This Row],[Exit]]),DATEDIF(Table1[[#This Row],[Hire]],TODAY(),"Y"),DATEDIF(Table1[[#This Row],[Hire]],Table1[[#This Row],[Exit]],"Y"))</f>
        <v>3</v>
      </c>
      <c r="N288" t="str" cm="1">
        <f t="array" ref="N288">_xlfn.IFS(
AND(D288&gt;=26,D288&lt;=30),"26–30",
AND(D288&gt;=31,D288&lt;=35),"31–35",
AND(D288&gt;=36,D288&lt;=40),"36–40",
AND(D288&gt;=41,D288&lt;=45),"41–45",
AND(D288&gt;=46,D288&lt;=50),"46–50",
AND(D288&gt;=51,D288&lt;=60),"51–60")</f>
        <v>31–35</v>
      </c>
    </row>
    <row r="289" spans="1:14" x14ac:dyDescent="0.35">
      <c r="A289" t="s">
        <v>600</v>
      </c>
      <c r="B289" t="s">
        <v>601</v>
      </c>
      <c r="C289" t="s">
        <v>14</v>
      </c>
      <c r="D289">
        <v>39</v>
      </c>
      <c r="E289" t="s">
        <v>31</v>
      </c>
      <c r="F289" t="s">
        <v>16</v>
      </c>
      <c r="G289" t="s">
        <v>17</v>
      </c>
      <c r="H289" s="1">
        <v>43889</v>
      </c>
      <c r="J289">
        <v>582000</v>
      </c>
      <c r="K289">
        <v>0.06</v>
      </c>
      <c r="L289" t="s">
        <v>24</v>
      </c>
      <c r="M289">
        <f ca="1">IF(ISBLANK(Table1[[#This Row],[Exit]]),DATEDIF(Table1[[#This Row],[Hire]],TODAY(),"Y"),DATEDIF(Table1[[#This Row],[Hire]],Table1[[#This Row],[Exit]],"Y"))</f>
        <v>5</v>
      </c>
      <c r="N289" t="str" cm="1">
        <f t="array" ref="N289">_xlfn.IFS(
AND(D289&gt;=26,D289&lt;=30),"26–30",
AND(D289&gt;=31,D289&lt;=35),"31–35",
AND(D289&gt;=36,D289&lt;=40),"36–40",
AND(D289&gt;=41,D289&lt;=45),"41–45",
AND(D289&gt;=46,D289&lt;=50),"46–50",
AND(D289&gt;=51,D289&lt;=60),"51–60")</f>
        <v>36–40</v>
      </c>
    </row>
    <row r="290" spans="1:14" x14ac:dyDescent="0.35">
      <c r="A290" t="s">
        <v>602</v>
      </c>
      <c r="B290" t="s">
        <v>603</v>
      </c>
      <c r="C290" t="s">
        <v>21</v>
      </c>
      <c r="D290">
        <v>31</v>
      </c>
      <c r="E290" t="s">
        <v>15</v>
      </c>
      <c r="F290" t="s">
        <v>16</v>
      </c>
      <c r="G290" t="s">
        <v>17</v>
      </c>
      <c r="H290" s="1">
        <v>44116</v>
      </c>
      <c r="J290">
        <v>584000</v>
      </c>
      <c r="K290">
        <v>0.1</v>
      </c>
      <c r="L290" t="s">
        <v>24</v>
      </c>
      <c r="M290">
        <f ca="1">IF(ISBLANK(Table1[[#This Row],[Exit]]),DATEDIF(Table1[[#This Row],[Hire]],TODAY(),"Y"),DATEDIF(Table1[[#This Row],[Hire]],Table1[[#This Row],[Exit]],"Y"))</f>
        <v>5</v>
      </c>
      <c r="N290" t="str" cm="1">
        <f t="array" ref="N290">_xlfn.IFS(
AND(D290&gt;=26,D290&lt;=30),"26–30",
AND(D290&gt;=31,D290&lt;=35),"31–35",
AND(D290&gt;=36,D290&lt;=40),"36–40",
AND(D290&gt;=41,D290&lt;=45),"41–45",
AND(D290&gt;=46,D290&lt;=50),"46–50",
AND(D290&gt;=51,D290&lt;=60),"51–60")</f>
        <v>31–35</v>
      </c>
    </row>
    <row r="291" spans="1:14" x14ac:dyDescent="0.35">
      <c r="A291" t="s">
        <v>604</v>
      </c>
      <c r="B291" t="s">
        <v>605</v>
      </c>
      <c r="C291" t="s">
        <v>14</v>
      </c>
      <c r="D291">
        <v>45</v>
      </c>
      <c r="E291" t="s">
        <v>22</v>
      </c>
      <c r="F291" t="s">
        <v>16</v>
      </c>
      <c r="G291" t="s">
        <v>23</v>
      </c>
      <c r="H291" s="1">
        <v>44588</v>
      </c>
      <c r="J291">
        <v>586000</v>
      </c>
      <c r="K291">
        <v>0.05</v>
      </c>
      <c r="L291" t="s">
        <v>24</v>
      </c>
      <c r="M291">
        <f ca="1">IF(ISBLANK(Table1[[#This Row],[Exit]]),DATEDIF(Table1[[#This Row],[Hire]],TODAY(),"Y"),DATEDIF(Table1[[#This Row],[Hire]],Table1[[#This Row],[Exit]],"Y"))</f>
        <v>4</v>
      </c>
      <c r="N291" t="str" cm="1">
        <f t="array" ref="N291">_xlfn.IFS(
AND(D291&gt;=26,D291&lt;=30),"26–30",
AND(D291&gt;=31,D291&lt;=35),"31–35",
AND(D291&gt;=36,D291&lt;=40),"36–40",
AND(D291&gt;=41,D291&lt;=45),"41–45",
AND(D291&gt;=46,D291&lt;=50),"46–50",
AND(D291&gt;=51,D291&lt;=60),"51–60")</f>
        <v>41–45</v>
      </c>
    </row>
    <row r="292" spans="1:14" x14ac:dyDescent="0.35">
      <c r="A292" t="s">
        <v>606</v>
      </c>
      <c r="B292" t="s">
        <v>607</v>
      </c>
      <c r="C292" t="s">
        <v>14</v>
      </c>
      <c r="D292">
        <v>50</v>
      </c>
      <c r="E292" t="s">
        <v>27</v>
      </c>
      <c r="F292" t="s">
        <v>28</v>
      </c>
      <c r="G292" t="s">
        <v>17</v>
      </c>
      <c r="H292" s="1">
        <v>45337</v>
      </c>
      <c r="J292">
        <v>588000</v>
      </c>
      <c r="K292">
        <v>0.36</v>
      </c>
      <c r="L292" t="s">
        <v>24</v>
      </c>
      <c r="M292">
        <f ca="1">IF(ISBLANK(Table1[[#This Row],[Exit]]),DATEDIF(Table1[[#This Row],[Hire]],TODAY(),"Y"),DATEDIF(Table1[[#This Row],[Hire]],Table1[[#This Row],[Exit]],"Y"))</f>
        <v>1</v>
      </c>
      <c r="N292" t="str" cm="1">
        <f t="array" ref="N292">_xlfn.IFS(
AND(D292&gt;=26,D292&lt;=30),"26–30",
AND(D292&gt;=31,D292&lt;=35),"31–35",
AND(D292&gt;=36,D292&lt;=40),"36–40",
AND(D292&gt;=41,D292&lt;=45),"41–45",
AND(D292&gt;=46,D292&lt;=50),"46–50",
AND(D292&gt;=51,D292&lt;=60),"51–60")</f>
        <v>46–50</v>
      </c>
    </row>
    <row r="293" spans="1:14" x14ac:dyDescent="0.35">
      <c r="A293" t="s">
        <v>315</v>
      </c>
      <c r="B293" t="s">
        <v>608</v>
      </c>
      <c r="C293" t="s">
        <v>14</v>
      </c>
      <c r="D293">
        <v>36</v>
      </c>
      <c r="E293" t="s">
        <v>31</v>
      </c>
      <c r="F293" t="s">
        <v>16</v>
      </c>
      <c r="G293" t="s">
        <v>23</v>
      </c>
      <c r="H293" s="1">
        <v>45332</v>
      </c>
      <c r="J293">
        <v>590000</v>
      </c>
      <c r="K293">
        <v>0.33</v>
      </c>
      <c r="L293" t="s">
        <v>24</v>
      </c>
      <c r="M293">
        <f ca="1">IF(ISBLANK(Table1[[#This Row],[Exit]]),DATEDIF(Table1[[#This Row],[Hire]],TODAY(),"Y"),DATEDIF(Table1[[#This Row],[Hire]],Table1[[#This Row],[Exit]],"Y"))</f>
        <v>1</v>
      </c>
      <c r="N293" t="str" cm="1">
        <f t="array" ref="N293">_xlfn.IFS(
AND(D293&gt;=26,D293&lt;=30),"26–30",
AND(D293&gt;=31,D293&lt;=35),"31–35",
AND(D293&gt;=36,D293&lt;=40),"36–40",
AND(D293&gt;=41,D293&lt;=45),"41–45",
AND(D293&gt;=46,D293&lt;=50),"46–50",
AND(D293&gt;=51,D293&lt;=60),"51–60")</f>
        <v>36–40</v>
      </c>
    </row>
    <row r="294" spans="1:14" x14ac:dyDescent="0.35">
      <c r="A294" t="s">
        <v>609</v>
      </c>
      <c r="B294" t="s">
        <v>610</v>
      </c>
      <c r="C294" t="s">
        <v>14</v>
      </c>
      <c r="D294">
        <v>45</v>
      </c>
      <c r="E294" t="s">
        <v>27</v>
      </c>
      <c r="F294" t="s">
        <v>28</v>
      </c>
      <c r="G294" t="s">
        <v>34</v>
      </c>
      <c r="H294" s="1">
        <v>44183</v>
      </c>
      <c r="J294">
        <v>592000</v>
      </c>
      <c r="K294">
        <v>0.11</v>
      </c>
      <c r="L294" t="s">
        <v>24</v>
      </c>
      <c r="M294">
        <f ca="1">IF(ISBLANK(Table1[[#This Row],[Exit]]),DATEDIF(Table1[[#This Row],[Hire]],TODAY(),"Y"),DATEDIF(Table1[[#This Row],[Hire]],Table1[[#This Row],[Exit]],"Y"))</f>
        <v>5</v>
      </c>
      <c r="N294" t="str" cm="1">
        <f t="array" ref="N294">_xlfn.IFS(
AND(D294&gt;=26,D294&lt;=30),"26–30",
AND(D294&gt;=31,D294&lt;=35),"31–35",
AND(D294&gt;=36,D294&lt;=40),"36–40",
AND(D294&gt;=41,D294&lt;=45),"41–45",
AND(D294&gt;=46,D294&lt;=50),"46–50",
AND(D294&gt;=51,D294&lt;=60),"51–60")</f>
        <v>41–45</v>
      </c>
    </row>
    <row r="295" spans="1:14" x14ac:dyDescent="0.35">
      <c r="A295" t="s">
        <v>611</v>
      </c>
      <c r="B295" t="s">
        <v>612</v>
      </c>
      <c r="C295" t="s">
        <v>14</v>
      </c>
      <c r="D295">
        <v>29</v>
      </c>
      <c r="E295" t="s">
        <v>15</v>
      </c>
      <c r="F295" t="s">
        <v>16</v>
      </c>
      <c r="G295" t="s">
        <v>23</v>
      </c>
      <c r="H295" s="1">
        <v>43837</v>
      </c>
      <c r="I295" s="1">
        <v>45206</v>
      </c>
      <c r="J295">
        <v>594000</v>
      </c>
      <c r="K295">
        <v>0</v>
      </c>
      <c r="L295" t="s">
        <v>18</v>
      </c>
      <c r="M295">
        <f ca="1">IF(ISBLANK(Table1[[#This Row],[Exit]]),DATEDIF(Table1[[#This Row],[Hire]],TODAY(),"Y"),DATEDIF(Table1[[#This Row],[Hire]],Table1[[#This Row],[Exit]],"Y"))</f>
        <v>3</v>
      </c>
      <c r="N295" t="str" cm="1">
        <f t="array" ref="N295">_xlfn.IFS(
AND(D295&gt;=26,D295&lt;=30),"26–30",
AND(D295&gt;=31,D295&lt;=35),"31–35",
AND(D295&gt;=36,D295&lt;=40),"36–40",
AND(D295&gt;=41,D295&lt;=45),"41–45",
AND(D295&gt;=46,D295&lt;=50),"46–50",
AND(D295&gt;=51,D295&lt;=60),"51–60")</f>
        <v>26–30</v>
      </c>
    </row>
    <row r="296" spans="1:14" x14ac:dyDescent="0.35">
      <c r="A296" t="s">
        <v>613</v>
      </c>
      <c r="B296" t="s">
        <v>614</v>
      </c>
      <c r="C296" t="s">
        <v>14</v>
      </c>
      <c r="D296">
        <v>41</v>
      </c>
      <c r="E296" t="s">
        <v>15</v>
      </c>
      <c r="F296" t="s">
        <v>16</v>
      </c>
      <c r="G296" t="s">
        <v>34</v>
      </c>
      <c r="H296" s="1">
        <v>45206</v>
      </c>
      <c r="J296">
        <v>596000</v>
      </c>
      <c r="K296">
        <v>0.06</v>
      </c>
      <c r="L296" t="s">
        <v>24</v>
      </c>
      <c r="M296">
        <f ca="1">IF(ISBLANK(Table1[[#This Row],[Exit]]),DATEDIF(Table1[[#This Row],[Hire]],TODAY(),"Y"),DATEDIF(Table1[[#This Row],[Hire]],Table1[[#This Row],[Exit]],"Y"))</f>
        <v>2</v>
      </c>
      <c r="N296" t="str" cm="1">
        <f t="array" ref="N296">_xlfn.IFS(
AND(D296&gt;=26,D296&lt;=30),"26–30",
AND(D296&gt;=31,D296&lt;=35),"31–35",
AND(D296&gt;=36,D296&lt;=40),"36–40",
AND(D296&gt;=41,D296&lt;=45),"41–45",
AND(D296&gt;=46,D296&lt;=50),"46–50",
AND(D296&gt;=51,D296&lt;=60),"51–60")</f>
        <v>41–45</v>
      </c>
    </row>
    <row r="297" spans="1:14" x14ac:dyDescent="0.35">
      <c r="A297" t="s">
        <v>250</v>
      </c>
      <c r="B297" t="s">
        <v>615</v>
      </c>
      <c r="C297" t="s">
        <v>14</v>
      </c>
      <c r="D297">
        <v>47</v>
      </c>
      <c r="E297" t="s">
        <v>42</v>
      </c>
      <c r="F297" t="s">
        <v>43</v>
      </c>
      <c r="G297" t="s">
        <v>34</v>
      </c>
      <c r="H297" s="1">
        <v>44487</v>
      </c>
      <c r="J297">
        <v>598000</v>
      </c>
      <c r="K297">
        <v>0</v>
      </c>
      <c r="L297" t="s">
        <v>24</v>
      </c>
      <c r="M297">
        <f ca="1">IF(ISBLANK(Table1[[#This Row],[Exit]]),DATEDIF(Table1[[#This Row],[Hire]],TODAY(),"Y"),DATEDIF(Table1[[#This Row],[Hire]],Table1[[#This Row],[Exit]],"Y"))</f>
        <v>4</v>
      </c>
      <c r="N297" t="str" cm="1">
        <f t="array" ref="N297">_xlfn.IFS(
AND(D297&gt;=26,D297&lt;=30),"26–30",
AND(D297&gt;=31,D297&lt;=35),"31–35",
AND(D297&gt;=36,D297&lt;=40),"36–40",
AND(D297&gt;=41,D297&lt;=45),"41–45",
AND(D297&gt;=46,D297&lt;=50),"46–50",
AND(D297&gt;=51,D297&lt;=60),"51–60")</f>
        <v>46–50</v>
      </c>
    </row>
    <row r="298" spans="1:14" x14ac:dyDescent="0.35">
      <c r="A298" t="s">
        <v>616</v>
      </c>
      <c r="B298" t="s">
        <v>617</v>
      </c>
      <c r="C298" t="s">
        <v>21</v>
      </c>
      <c r="D298">
        <v>38</v>
      </c>
      <c r="E298" t="s">
        <v>42</v>
      </c>
      <c r="F298" t="s">
        <v>46</v>
      </c>
      <c r="G298" t="s">
        <v>23</v>
      </c>
      <c r="H298" s="1">
        <v>44791</v>
      </c>
      <c r="J298">
        <v>600000</v>
      </c>
      <c r="K298">
        <v>0.06</v>
      </c>
      <c r="L298" t="s">
        <v>24</v>
      </c>
      <c r="M298">
        <f ca="1">IF(ISBLANK(Table1[[#This Row],[Exit]]),DATEDIF(Table1[[#This Row],[Hire]],TODAY(),"Y"),DATEDIF(Table1[[#This Row],[Hire]],Table1[[#This Row],[Exit]],"Y"))</f>
        <v>3</v>
      </c>
      <c r="N298" t="str" cm="1">
        <f t="array" ref="N298">_xlfn.IFS(
AND(D298&gt;=26,D298&lt;=30),"26–30",
AND(D298&gt;=31,D298&lt;=35),"31–35",
AND(D298&gt;=36,D298&lt;=40),"36–40",
AND(D298&gt;=41,D298&lt;=45),"41–45",
AND(D298&gt;=46,D298&lt;=50),"46–50",
AND(D298&gt;=51,D298&lt;=60),"51–60")</f>
        <v>36–40</v>
      </c>
    </row>
    <row r="299" spans="1:14" x14ac:dyDescent="0.35">
      <c r="A299" t="s">
        <v>618</v>
      </c>
      <c r="B299" t="s">
        <v>619</v>
      </c>
      <c r="C299" t="s">
        <v>14</v>
      </c>
      <c r="D299">
        <v>40</v>
      </c>
      <c r="E299" t="s">
        <v>42</v>
      </c>
      <c r="F299" t="s">
        <v>49</v>
      </c>
      <c r="G299" t="s">
        <v>17</v>
      </c>
      <c r="H299" s="1">
        <v>45440</v>
      </c>
      <c r="J299">
        <v>602000</v>
      </c>
      <c r="K299">
        <v>0.39</v>
      </c>
      <c r="L299" t="s">
        <v>24</v>
      </c>
      <c r="M299">
        <f ca="1">IF(ISBLANK(Table1[[#This Row],[Exit]]),DATEDIF(Table1[[#This Row],[Hire]],TODAY(),"Y"),DATEDIF(Table1[[#This Row],[Hire]],Table1[[#This Row],[Exit]],"Y"))</f>
        <v>1</v>
      </c>
      <c r="N299" t="str" cm="1">
        <f t="array" ref="N299">_xlfn.IFS(
AND(D299&gt;=26,D299&lt;=30),"26–30",
AND(D299&gt;=31,D299&lt;=35),"31–35",
AND(D299&gt;=36,D299&lt;=40),"36–40",
AND(D299&gt;=41,D299&lt;=45),"41–45",
AND(D299&gt;=46,D299&lt;=50),"46–50",
AND(D299&gt;=51,D299&lt;=60),"51–60")</f>
        <v>36–40</v>
      </c>
    </row>
    <row r="300" spans="1:14" x14ac:dyDescent="0.35">
      <c r="A300" t="s">
        <v>620</v>
      </c>
      <c r="B300" t="s">
        <v>621</v>
      </c>
      <c r="C300" t="s">
        <v>14</v>
      </c>
      <c r="D300">
        <v>45</v>
      </c>
      <c r="E300" t="s">
        <v>52</v>
      </c>
      <c r="F300" t="s">
        <v>16</v>
      </c>
      <c r="G300" t="s">
        <v>53</v>
      </c>
      <c r="H300" s="1">
        <v>44811</v>
      </c>
      <c r="J300">
        <v>604000</v>
      </c>
      <c r="K300">
        <v>0</v>
      </c>
      <c r="L300" t="s">
        <v>24</v>
      </c>
      <c r="M300">
        <f ca="1">IF(ISBLANK(Table1[[#This Row],[Exit]]),DATEDIF(Table1[[#This Row],[Hire]],TODAY(),"Y"),DATEDIF(Table1[[#This Row],[Hire]],Table1[[#This Row],[Exit]],"Y"))</f>
        <v>3</v>
      </c>
      <c r="N300" t="str" cm="1">
        <f t="array" ref="N300">_xlfn.IFS(
AND(D300&gt;=26,D300&lt;=30),"26–30",
AND(D300&gt;=31,D300&lt;=35),"31–35",
AND(D300&gt;=36,D300&lt;=40),"36–40",
AND(D300&gt;=41,D300&lt;=45),"41–45",
AND(D300&gt;=46,D300&lt;=50),"46–50",
AND(D300&gt;=51,D300&lt;=60),"51–60")</f>
        <v>41–45</v>
      </c>
    </row>
    <row r="301" spans="1:14" x14ac:dyDescent="0.35">
      <c r="A301" t="s">
        <v>622</v>
      </c>
      <c r="B301" t="s">
        <v>623</v>
      </c>
      <c r="C301" t="s">
        <v>21</v>
      </c>
      <c r="D301">
        <v>31</v>
      </c>
      <c r="E301" t="s">
        <v>42</v>
      </c>
      <c r="F301" t="s">
        <v>46</v>
      </c>
      <c r="G301" t="s">
        <v>53</v>
      </c>
      <c r="H301" s="1">
        <v>45294</v>
      </c>
      <c r="J301">
        <v>606000</v>
      </c>
      <c r="K301">
        <v>0</v>
      </c>
      <c r="L301" t="s">
        <v>24</v>
      </c>
      <c r="M301">
        <f ca="1">IF(ISBLANK(Table1[[#This Row],[Exit]]),DATEDIF(Table1[[#This Row],[Hire]],TODAY(),"Y"),DATEDIF(Table1[[#This Row],[Hire]],Table1[[#This Row],[Exit]],"Y"))</f>
        <v>2</v>
      </c>
      <c r="N301" t="str" cm="1">
        <f t="array" ref="N301">_xlfn.IFS(
AND(D301&gt;=26,D301&lt;=30),"26–30",
AND(D301&gt;=31,D301&lt;=35),"31–35",
AND(D301&gt;=36,D301&lt;=40),"36–40",
AND(D301&gt;=41,D301&lt;=45),"41–45",
AND(D301&gt;=46,D301&lt;=50),"46–50",
AND(D301&gt;=51,D301&lt;=60),"51–60")</f>
        <v>31–35</v>
      </c>
    </row>
    <row r="302" spans="1:14" x14ac:dyDescent="0.35">
      <c r="A302" t="s">
        <v>624</v>
      </c>
      <c r="B302" t="s">
        <v>625</v>
      </c>
      <c r="C302" t="s">
        <v>41</v>
      </c>
      <c r="D302">
        <v>35</v>
      </c>
      <c r="E302" t="s">
        <v>58</v>
      </c>
      <c r="F302" t="s">
        <v>59</v>
      </c>
      <c r="G302" t="s">
        <v>34</v>
      </c>
      <c r="H302" s="1">
        <v>45074</v>
      </c>
      <c r="I302" s="1">
        <v>45401</v>
      </c>
      <c r="J302">
        <v>608000</v>
      </c>
      <c r="K302">
        <v>0.28999999999999998</v>
      </c>
      <c r="L302" t="s">
        <v>18</v>
      </c>
      <c r="M302">
        <f ca="1">IF(ISBLANK(Table1[[#This Row],[Exit]]),DATEDIF(Table1[[#This Row],[Hire]],TODAY(),"Y"),DATEDIF(Table1[[#This Row],[Hire]],Table1[[#This Row],[Exit]],"Y"))</f>
        <v>0</v>
      </c>
      <c r="N302" t="str" cm="1">
        <f t="array" ref="N302">_xlfn.IFS(
AND(D302&gt;=26,D302&lt;=30),"26–30",
AND(D302&gt;=31,D302&lt;=35),"31–35",
AND(D302&gt;=36,D302&lt;=40),"36–40",
AND(D302&gt;=41,D302&lt;=45),"41–45",
AND(D302&gt;=46,D302&lt;=50),"46–50",
AND(D302&gt;=51,D302&lt;=60),"51–60")</f>
        <v>31–35</v>
      </c>
    </row>
    <row r="303" spans="1:14" x14ac:dyDescent="0.35">
      <c r="A303" t="s">
        <v>626</v>
      </c>
      <c r="B303" t="s">
        <v>627</v>
      </c>
      <c r="C303" t="s">
        <v>14</v>
      </c>
      <c r="D303">
        <v>29</v>
      </c>
      <c r="E303" t="s">
        <v>52</v>
      </c>
      <c r="F303" t="s">
        <v>16</v>
      </c>
      <c r="G303" t="s">
        <v>23</v>
      </c>
      <c r="H303" s="1">
        <v>45245</v>
      </c>
      <c r="J303">
        <v>610000</v>
      </c>
      <c r="K303">
        <v>0</v>
      </c>
      <c r="L303" t="s">
        <v>24</v>
      </c>
      <c r="M303">
        <f ca="1">IF(ISBLANK(Table1[[#This Row],[Exit]]),DATEDIF(Table1[[#This Row],[Hire]],TODAY(),"Y"),DATEDIF(Table1[[#This Row],[Hire]],Table1[[#This Row],[Exit]],"Y"))</f>
        <v>2</v>
      </c>
      <c r="N303" t="str" cm="1">
        <f t="array" ref="N303">_xlfn.IFS(
AND(D303&gt;=26,D303&lt;=30),"26–30",
AND(D303&gt;=31,D303&lt;=35),"31–35",
AND(D303&gt;=36,D303&lt;=40),"36–40",
AND(D303&gt;=41,D303&lt;=45),"41–45",
AND(D303&gt;=46,D303&lt;=50),"46–50",
AND(D303&gt;=51,D303&lt;=60),"51–60")</f>
        <v>26–30</v>
      </c>
    </row>
    <row r="304" spans="1:14" x14ac:dyDescent="0.35">
      <c r="A304" t="s">
        <v>628</v>
      </c>
      <c r="B304" t="s">
        <v>629</v>
      </c>
      <c r="C304" t="s">
        <v>41</v>
      </c>
      <c r="D304">
        <v>35</v>
      </c>
      <c r="E304" t="s">
        <v>52</v>
      </c>
      <c r="F304" t="s">
        <v>16</v>
      </c>
      <c r="G304" t="s">
        <v>34</v>
      </c>
      <c r="H304" s="1">
        <v>43851</v>
      </c>
      <c r="J304">
        <v>612000</v>
      </c>
      <c r="K304">
        <v>0</v>
      </c>
      <c r="L304" t="s">
        <v>24</v>
      </c>
      <c r="M304">
        <f ca="1">IF(ISBLANK(Table1[[#This Row],[Exit]]),DATEDIF(Table1[[#This Row],[Hire]],TODAY(),"Y"),DATEDIF(Table1[[#This Row],[Hire]],Table1[[#This Row],[Exit]],"Y"))</f>
        <v>6</v>
      </c>
      <c r="N304" t="str" cm="1">
        <f t="array" ref="N304">_xlfn.IFS(
AND(D304&gt;=26,D304&lt;=30),"26–30",
AND(D304&gt;=31,D304&lt;=35),"31–35",
AND(D304&gt;=36,D304&lt;=40),"36–40",
AND(D304&gt;=41,D304&lt;=45),"41–45",
AND(D304&gt;=46,D304&lt;=50),"46–50",
AND(D304&gt;=51,D304&lt;=60),"51–60")</f>
        <v>31–35</v>
      </c>
    </row>
    <row r="305" spans="1:14" x14ac:dyDescent="0.35">
      <c r="A305" t="s">
        <v>630</v>
      </c>
      <c r="B305" t="s">
        <v>631</v>
      </c>
      <c r="C305" t="s">
        <v>14</v>
      </c>
      <c r="D305">
        <v>27</v>
      </c>
      <c r="E305" t="s">
        <v>66</v>
      </c>
      <c r="F305" t="s">
        <v>16</v>
      </c>
      <c r="G305" t="s">
        <v>17</v>
      </c>
      <c r="H305" s="1">
        <v>45206</v>
      </c>
      <c r="J305">
        <v>614000</v>
      </c>
      <c r="K305">
        <v>0</v>
      </c>
      <c r="L305" t="s">
        <v>24</v>
      </c>
      <c r="M305">
        <f ca="1">IF(ISBLANK(Table1[[#This Row],[Exit]]),DATEDIF(Table1[[#This Row],[Hire]],TODAY(),"Y"),DATEDIF(Table1[[#This Row],[Hire]],Table1[[#This Row],[Exit]],"Y"))</f>
        <v>2</v>
      </c>
      <c r="N305" t="str" cm="1">
        <f t="array" ref="N305">_xlfn.IFS(
AND(D305&gt;=26,D305&lt;=30),"26–30",
AND(D305&gt;=31,D305&lt;=35),"31–35",
AND(D305&gt;=36,D305&lt;=40),"36–40",
AND(D305&gt;=41,D305&lt;=45),"41–45",
AND(D305&gt;=46,D305&lt;=50),"46–50",
AND(D305&gt;=51,D305&lt;=60),"51–60")</f>
        <v>26–30</v>
      </c>
    </row>
    <row r="306" spans="1:14" x14ac:dyDescent="0.35">
      <c r="A306" t="s">
        <v>632</v>
      </c>
      <c r="B306" t="s">
        <v>633</v>
      </c>
      <c r="C306" t="s">
        <v>14</v>
      </c>
      <c r="D306">
        <v>26</v>
      </c>
      <c r="E306" t="s">
        <v>58</v>
      </c>
      <c r="F306" t="s">
        <v>59</v>
      </c>
      <c r="G306" t="s">
        <v>23</v>
      </c>
      <c r="H306" s="1">
        <v>45401</v>
      </c>
      <c r="J306">
        <v>616000</v>
      </c>
      <c r="K306">
        <v>0.2</v>
      </c>
      <c r="L306" t="s">
        <v>24</v>
      </c>
      <c r="M306">
        <f ca="1">IF(ISBLANK(Table1[[#This Row],[Exit]]),DATEDIF(Table1[[#This Row],[Hire]],TODAY(),"Y"),DATEDIF(Table1[[#This Row],[Hire]],Table1[[#This Row],[Exit]],"Y"))</f>
        <v>1</v>
      </c>
      <c r="N306" t="str" cm="1">
        <f t="array" ref="N306">_xlfn.IFS(
AND(D306&gt;=26,D306&lt;=30),"26–30",
AND(D306&gt;=31,D306&lt;=35),"31–35",
AND(D306&gt;=36,D306&lt;=40),"36–40",
AND(D306&gt;=41,D306&lt;=45),"41–45",
AND(D306&gt;=46,D306&lt;=50),"46–50",
AND(D306&gt;=51,D306&lt;=60),"51–60")</f>
        <v>26–30</v>
      </c>
    </row>
    <row r="307" spans="1:14" x14ac:dyDescent="0.35">
      <c r="A307" t="s">
        <v>634</v>
      </c>
      <c r="B307" t="s">
        <v>635</v>
      </c>
      <c r="C307" t="s">
        <v>21</v>
      </c>
      <c r="D307">
        <v>31</v>
      </c>
      <c r="E307" t="s">
        <v>66</v>
      </c>
      <c r="F307" t="s">
        <v>16</v>
      </c>
      <c r="G307" t="s">
        <v>34</v>
      </c>
      <c r="H307" s="1">
        <v>44083</v>
      </c>
      <c r="J307">
        <v>618000</v>
      </c>
      <c r="K307">
        <v>0.28999999999999998</v>
      </c>
      <c r="L307" t="s">
        <v>24</v>
      </c>
      <c r="M307">
        <f ca="1">IF(ISBLANK(Table1[[#This Row],[Exit]]),DATEDIF(Table1[[#This Row],[Hire]],TODAY(),"Y"),DATEDIF(Table1[[#This Row],[Hire]],Table1[[#This Row],[Exit]],"Y"))</f>
        <v>5</v>
      </c>
      <c r="N307" t="str" cm="1">
        <f t="array" ref="N307">_xlfn.IFS(
AND(D307&gt;=26,D307&lt;=30),"26–30",
AND(D307&gt;=31,D307&lt;=35),"31–35",
AND(D307&gt;=36,D307&lt;=40),"36–40",
AND(D307&gt;=41,D307&lt;=45),"41–45",
AND(D307&gt;=46,D307&lt;=50),"46–50",
AND(D307&gt;=51,D307&lt;=60),"51–60")</f>
        <v>31–35</v>
      </c>
    </row>
    <row r="308" spans="1:14" x14ac:dyDescent="0.35">
      <c r="A308" t="s">
        <v>636</v>
      </c>
      <c r="B308" t="s">
        <v>637</v>
      </c>
      <c r="C308" t="s">
        <v>21</v>
      </c>
      <c r="D308">
        <v>31</v>
      </c>
      <c r="E308" t="s">
        <v>66</v>
      </c>
      <c r="F308" t="s">
        <v>16</v>
      </c>
      <c r="G308" t="s">
        <v>53</v>
      </c>
      <c r="H308" s="1">
        <v>45233</v>
      </c>
      <c r="J308">
        <v>620000</v>
      </c>
      <c r="K308">
        <v>0</v>
      </c>
      <c r="L308" t="s">
        <v>24</v>
      </c>
      <c r="M308">
        <f ca="1">IF(ISBLANK(Table1[[#This Row],[Exit]]),DATEDIF(Table1[[#This Row],[Hire]],TODAY(),"Y"),DATEDIF(Table1[[#This Row],[Hire]],Table1[[#This Row],[Exit]],"Y"))</f>
        <v>2</v>
      </c>
      <c r="N308" t="str" cm="1">
        <f t="array" ref="N308">_xlfn.IFS(
AND(D308&gt;=26,D308&lt;=30),"26–30",
AND(D308&gt;=31,D308&lt;=35),"31–35",
AND(D308&gt;=36,D308&lt;=40),"36–40",
AND(D308&gt;=41,D308&lt;=45),"41–45",
AND(D308&gt;=46,D308&lt;=50),"46–50",
AND(D308&gt;=51,D308&lt;=60),"51–60")</f>
        <v>31–35</v>
      </c>
    </row>
    <row r="309" spans="1:14" x14ac:dyDescent="0.35">
      <c r="A309" t="s">
        <v>638</v>
      </c>
      <c r="B309" t="s">
        <v>639</v>
      </c>
      <c r="C309" t="s">
        <v>21</v>
      </c>
      <c r="D309">
        <v>36</v>
      </c>
      <c r="E309" t="s">
        <v>58</v>
      </c>
      <c r="F309" t="s">
        <v>59</v>
      </c>
      <c r="G309" t="s">
        <v>53</v>
      </c>
      <c r="H309" s="1">
        <v>45412</v>
      </c>
      <c r="J309">
        <v>622000</v>
      </c>
      <c r="K309">
        <v>0</v>
      </c>
      <c r="L309" t="s">
        <v>24</v>
      </c>
      <c r="M309">
        <f ca="1">IF(ISBLANK(Table1[[#This Row],[Exit]]),DATEDIF(Table1[[#This Row],[Hire]],TODAY(),"Y"),DATEDIF(Table1[[#This Row],[Hire]],Table1[[#This Row],[Exit]],"Y"))</f>
        <v>1</v>
      </c>
      <c r="N309" t="str" cm="1">
        <f t="array" ref="N309">_xlfn.IFS(
AND(D309&gt;=26,D309&lt;=30),"26–30",
AND(D309&gt;=31,D309&lt;=35),"31–35",
AND(D309&gt;=36,D309&lt;=40),"36–40",
AND(D309&gt;=41,D309&lt;=45),"41–45",
AND(D309&gt;=46,D309&lt;=50),"46–50",
AND(D309&gt;=51,D309&lt;=60),"51–60")</f>
        <v>36–40</v>
      </c>
    </row>
    <row r="310" spans="1:14" x14ac:dyDescent="0.35">
      <c r="A310" t="s">
        <v>640</v>
      </c>
      <c r="B310" t="s">
        <v>641</v>
      </c>
      <c r="C310" t="s">
        <v>21</v>
      </c>
      <c r="D310">
        <v>45</v>
      </c>
      <c r="E310" t="s">
        <v>15</v>
      </c>
      <c r="F310" t="s">
        <v>16</v>
      </c>
      <c r="G310" t="s">
        <v>53</v>
      </c>
      <c r="H310" s="1">
        <v>43887</v>
      </c>
      <c r="J310">
        <v>624000</v>
      </c>
      <c r="K310">
        <v>0</v>
      </c>
      <c r="L310" t="s">
        <v>24</v>
      </c>
      <c r="M310">
        <f ca="1">IF(ISBLANK(Table1[[#This Row],[Exit]]),DATEDIF(Table1[[#This Row],[Hire]],TODAY(),"Y"),DATEDIF(Table1[[#This Row],[Hire]],Table1[[#This Row],[Exit]],"Y"))</f>
        <v>5</v>
      </c>
      <c r="N310" t="str" cm="1">
        <f t="array" ref="N310">_xlfn.IFS(
AND(D310&gt;=26,D310&lt;=30),"26–30",
AND(D310&gt;=31,D310&lt;=35),"31–35",
AND(D310&gt;=36,D310&lt;=40),"36–40",
AND(D310&gt;=41,D310&lt;=45),"41–45",
AND(D310&gt;=46,D310&lt;=50),"46–50",
AND(D310&gt;=51,D310&lt;=60),"51–60")</f>
        <v>41–45</v>
      </c>
    </row>
    <row r="311" spans="1:14" x14ac:dyDescent="0.35">
      <c r="A311" t="s">
        <v>642</v>
      </c>
      <c r="B311" t="s">
        <v>643</v>
      </c>
      <c r="C311" t="s">
        <v>21</v>
      </c>
      <c r="D311">
        <v>37</v>
      </c>
      <c r="E311" t="s">
        <v>22</v>
      </c>
      <c r="F311" t="s">
        <v>16</v>
      </c>
      <c r="G311" t="s">
        <v>53</v>
      </c>
      <c r="H311" s="1">
        <v>44815</v>
      </c>
      <c r="J311">
        <v>626000</v>
      </c>
      <c r="K311">
        <v>0.22</v>
      </c>
      <c r="L311" t="s">
        <v>24</v>
      </c>
      <c r="M311">
        <f ca="1">IF(ISBLANK(Table1[[#This Row],[Exit]]),DATEDIF(Table1[[#This Row],[Hire]],TODAY(),"Y"),DATEDIF(Table1[[#This Row],[Hire]],Table1[[#This Row],[Exit]],"Y"))</f>
        <v>3</v>
      </c>
      <c r="N311" t="str" cm="1">
        <f t="array" ref="N311">_xlfn.IFS(
AND(D311&gt;=26,D311&lt;=30),"26–30",
AND(D311&gt;=31,D311&lt;=35),"31–35",
AND(D311&gt;=36,D311&lt;=40),"36–40",
AND(D311&gt;=41,D311&lt;=45),"41–45",
AND(D311&gt;=46,D311&lt;=50),"46–50",
AND(D311&gt;=51,D311&lt;=60),"51–60")</f>
        <v>36–40</v>
      </c>
    </row>
    <row r="312" spans="1:14" x14ac:dyDescent="0.35">
      <c r="A312" t="s">
        <v>54</v>
      </c>
      <c r="B312" t="s">
        <v>644</v>
      </c>
      <c r="C312" t="s">
        <v>14</v>
      </c>
      <c r="D312">
        <v>38</v>
      </c>
      <c r="E312" t="s">
        <v>81</v>
      </c>
      <c r="F312" t="s">
        <v>43</v>
      </c>
      <c r="G312" t="s">
        <v>53</v>
      </c>
      <c r="H312" s="1">
        <v>45430</v>
      </c>
      <c r="J312">
        <v>628000</v>
      </c>
      <c r="K312">
        <v>7.0000000000000007E-2</v>
      </c>
      <c r="L312" t="s">
        <v>24</v>
      </c>
      <c r="M312">
        <f ca="1">IF(ISBLANK(Table1[[#This Row],[Exit]]),DATEDIF(Table1[[#This Row],[Hire]],TODAY(),"Y"),DATEDIF(Table1[[#This Row],[Hire]],Table1[[#This Row],[Exit]],"Y"))</f>
        <v>1</v>
      </c>
      <c r="N312" t="str" cm="1">
        <f t="array" ref="N312">_xlfn.IFS(
AND(D312&gt;=26,D312&lt;=30),"26–30",
AND(D312&gt;=31,D312&lt;=35),"31–35",
AND(D312&gt;=36,D312&lt;=40),"36–40",
AND(D312&gt;=41,D312&lt;=45),"41–45",
AND(D312&gt;=46,D312&lt;=50),"46–50",
AND(D312&gt;=51,D312&lt;=60),"51–60")</f>
        <v>36–40</v>
      </c>
    </row>
    <row r="313" spans="1:14" x14ac:dyDescent="0.35">
      <c r="A313" t="s">
        <v>645</v>
      </c>
      <c r="B313" t="s">
        <v>646</v>
      </c>
      <c r="C313" t="s">
        <v>41</v>
      </c>
      <c r="D313">
        <v>45</v>
      </c>
      <c r="E313" t="s">
        <v>52</v>
      </c>
      <c r="F313" t="s">
        <v>16</v>
      </c>
      <c r="G313" t="s">
        <v>17</v>
      </c>
      <c r="H313" s="1">
        <v>44509</v>
      </c>
      <c r="J313">
        <v>630000</v>
      </c>
      <c r="K313">
        <v>0</v>
      </c>
      <c r="L313" t="s">
        <v>24</v>
      </c>
      <c r="M313">
        <f ca="1">IF(ISBLANK(Table1[[#This Row],[Exit]]),DATEDIF(Table1[[#This Row],[Hire]],TODAY(),"Y"),DATEDIF(Table1[[#This Row],[Hire]],Table1[[#This Row],[Exit]],"Y"))</f>
        <v>4</v>
      </c>
      <c r="N313" t="str" cm="1">
        <f t="array" ref="N313">_xlfn.IFS(
AND(D313&gt;=26,D313&lt;=30),"26–30",
AND(D313&gt;=31,D313&lt;=35),"31–35",
AND(D313&gt;=36,D313&lt;=40),"36–40",
AND(D313&gt;=41,D313&lt;=45),"41–45",
AND(D313&gt;=46,D313&lt;=50),"46–50",
AND(D313&gt;=51,D313&lt;=60),"51–60")</f>
        <v>41–45</v>
      </c>
    </row>
    <row r="314" spans="1:14" x14ac:dyDescent="0.35">
      <c r="A314" t="s">
        <v>647</v>
      </c>
      <c r="B314" t="s">
        <v>648</v>
      </c>
      <c r="C314" t="s">
        <v>14</v>
      </c>
      <c r="D314">
        <v>51</v>
      </c>
      <c r="E314" t="s">
        <v>66</v>
      </c>
      <c r="F314" t="s">
        <v>16</v>
      </c>
      <c r="G314" t="s">
        <v>23</v>
      </c>
      <c r="H314" s="1">
        <v>43963</v>
      </c>
      <c r="J314">
        <v>632000</v>
      </c>
      <c r="K314">
        <v>0</v>
      </c>
      <c r="L314" t="s">
        <v>24</v>
      </c>
      <c r="M314">
        <f ca="1">IF(ISBLANK(Table1[[#This Row],[Exit]]),DATEDIF(Table1[[#This Row],[Hire]],TODAY(),"Y"),DATEDIF(Table1[[#This Row],[Hire]],Table1[[#This Row],[Exit]],"Y"))</f>
        <v>5</v>
      </c>
      <c r="N314" t="str" cm="1">
        <f t="array" ref="N314">_xlfn.IFS(
AND(D314&gt;=26,D314&lt;=30),"26–30",
AND(D314&gt;=31,D314&lt;=35),"31–35",
AND(D314&gt;=36,D314&lt;=40),"36–40",
AND(D314&gt;=41,D314&lt;=45),"41–45",
AND(D314&gt;=46,D314&lt;=50),"46–50",
AND(D314&gt;=51,D314&lt;=60),"51–60")</f>
        <v>51–60</v>
      </c>
    </row>
    <row r="315" spans="1:14" x14ac:dyDescent="0.35">
      <c r="A315" t="s">
        <v>649</v>
      </c>
      <c r="B315" t="s">
        <v>650</v>
      </c>
      <c r="C315" t="s">
        <v>14</v>
      </c>
      <c r="D315">
        <v>56</v>
      </c>
      <c r="E315" t="s">
        <v>31</v>
      </c>
      <c r="F315" t="s">
        <v>16</v>
      </c>
      <c r="G315" t="s">
        <v>53</v>
      </c>
      <c r="H315" s="1">
        <v>44815</v>
      </c>
      <c r="J315">
        <v>634000</v>
      </c>
      <c r="K315">
        <v>0</v>
      </c>
      <c r="L315" t="s">
        <v>24</v>
      </c>
      <c r="M315">
        <f ca="1">IF(ISBLANK(Table1[[#This Row],[Exit]]),DATEDIF(Table1[[#This Row],[Hire]],TODAY(),"Y"),DATEDIF(Table1[[#This Row],[Hire]],Table1[[#This Row],[Exit]],"Y"))</f>
        <v>3</v>
      </c>
      <c r="N315" t="str" cm="1">
        <f t="array" ref="N315">_xlfn.IFS(
AND(D315&gt;=26,D315&lt;=30),"26–30",
AND(D315&gt;=31,D315&lt;=35),"31–35",
AND(D315&gt;=36,D315&lt;=40),"36–40",
AND(D315&gt;=41,D315&lt;=45),"41–45",
AND(D315&gt;=46,D315&lt;=50),"46–50",
AND(D315&gt;=51,D315&lt;=60),"51–60")</f>
        <v>51–60</v>
      </c>
    </row>
    <row r="316" spans="1:14" x14ac:dyDescent="0.35">
      <c r="A316" t="s">
        <v>651</v>
      </c>
      <c r="B316" t="s">
        <v>652</v>
      </c>
      <c r="C316" t="s">
        <v>14</v>
      </c>
      <c r="D316">
        <v>53</v>
      </c>
      <c r="E316" t="s">
        <v>81</v>
      </c>
      <c r="F316" t="s">
        <v>49</v>
      </c>
      <c r="G316" t="s">
        <v>34</v>
      </c>
      <c r="H316" s="1">
        <v>44857</v>
      </c>
      <c r="J316">
        <v>636000</v>
      </c>
      <c r="K316">
        <v>0</v>
      </c>
      <c r="L316" t="s">
        <v>24</v>
      </c>
      <c r="M316">
        <f ca="1">IF(ISBLANK(Table1[[#This Row],[Exit]]),DATEDIF(Table1[[#This Row],[Hire]],TODAY(),"Y"),DATEDIF(Table1[[#This Row],[Hire]],Table1[[#This Row],[Exit]],"Y"))</f>
        <v>3</v>
      </c>
      <c r="N316" t="str" cm="1">
        <f t="array" ref="N316">_xlfn.IFS(
AND(D316&gt;=26,D316&lt;=30),"26–30",
AND(D316&gt;=31,D316&lt;=35),"31–35",
AND(D316&gt;=36,D316&lt;=40),"36–40",
AND(D316&gt;=41,D316&lt;=45),"41–45",
AND(D316&gt;=46,D316&lt;=50),"46–50",
AND(D316&gt;=51,D316&lt;=60),"51–60")</f>
        <v>51–60</v>
      </c>
    </row>
    <row r="317" spans="1:14" x14ac:dyDescent="0.35">
      <c r="A317" t="s">
        <v>653</v>
      </c>
      <c r="B317" t="s">
        <v>654</v>
      </c>
      <c r="C317" t="s">
        <v>14</v>
      </c>
      <c r="D317">
        <v>47</v>
      </c>
      <c r="E317" t="s">
        <v>92</v>
      </c>
      <c r="F317" t="s">
        <v>59</v>
      </c>
      <c r="G317" t="s">
        <v>53</v>
      </c>
      <c r="H317" s="1">
        <v>45527</v>
      </c>
      <c r="J317">
        <v>638000</v>
      </c>
      <c r="K317">
        <v>0.05</v>
      </c>
      <c r="L317" t="s">
        <v>24</v>
      </c>
      <c r="M317">
        <f ca="1">IF(ISBLANK(Table1[[#This Row],[Exit]]),DATEDIF(Table1[[#This Row],[Hire]],TODAY(),"Y"),DATEDIF(Table1[[#This Row],[Hire]],Table1[[#This Row],[Exit]],"Y"))</f>
        <v>1</v>
      </c>
      <c r="N317" t="str" cm="1">
        <f t="array" ref="N317">_xlfn.IFS(
AND(D317&gt;=26,D317&lt;=30),"26–30",
AND(D317&gt;=31,D317&lt;=35),"31–35",
AND(D317&gt;=36,D317&lt;=40),"36–40",
AND(D317&gt;=41,D317&lt;=45),"41–45",
AND(D317&gt;=46,D317&lt;=50),"46–50",
AND(D317&gt;=51,D317&lt;=60),"51–60")</f>
        <v>46–50</v>
      </c>
    </row>
    <row r="318" spans="1:14" x14ac:dyDescent="0.35">
      <c r="A318" t="s">
        <v>655</v>
      </c>
      <c r="B318" t="s">
        <v>656</v>
      </c>
      <c r="C318" t="s">
        <v>21</v>
      </c>
      <c r="D318">
        <v>36</v>
      </c>
      <c r="E318" t="s">
        <v>81</v>
      </c>
      <c r="F318" t="s">
        <v>46</v>
      </c>
      <c r="G318" t="s">
        <v>23</v>
      </c>
      <c r="H318" s="1">
        <v>45237</v>
      </c>
      <c r="J318">
        <v>640000</v>
      </c>
      <c r="K318">
        <v>0.34</v>
      </c>
      <c r="L318" t="s">
        <v>24</v>
      </c>
      <c r="M318">
        <f ca="1">IF(ISBLANK(Table1[[#This Row],[Exit]]),DATEDIF(Table1[[#This Row],[Hire]],TODAY(),"Y"),DATEDIF(Table1[[#This Row],[Hire]],Table1[[#This Row],[Exit]],"Y"))</f>
        <v>2</v>
      </c>
      <c r="N318" t="str" cm="1">
        <f t="array" ref="N318">_xlfn.IFS(
AND(D318&gt;=26,D318&lt;=30),"26–30",
AND(D318&gt;=31,D318&lt;=35),"31–35",
AND(D318&gt;=36,D318&lt;=40),"36–40",
AND(D318&gt;=41,D318&lt;=45),"41–45",
AND(D318&gt;=46,D318&lt;=50),"46–50",
AND(D318&gt;=51,D318&lt;=60),"51–60")</f>
        <v>36–40</v>
      </c>
    </row>
    <row r="319" spans="1:14" x14ac:dyDescent="0.35">
      <c r="A319" t="s">
        <v>446</v>
      </c>
      <c r="B319" t="s">
        <v>657</v>
      </c>
      <c r="C319" t="s">
        <v>21</v>
      </c>
      <c r="D319">
        <v>41</v>
      </c>
      <c r="E319" t="s">
        <v>22</v>
      </c>
      <c r="F319" t="s">
        <v>16</v>
      </c>
      <c r="G319" t="s">
        <v>34</v>
      </c>
      <c r="H319" s="1">
        <v>45206</v>
      </c>
      <c r="J319">
        <v>642000</v>
      </c>
      <c r="K319">
        <v>0.35</v>
      </c>
      <c r="L319" t="s">
        <v>24</v>
      </c>
      <c r="M319">
        <f ca="1">IF(ISBLANK(Table1[[#This Row],[Exit]]),DATEDIF(Table1[[#This Row],[Hire]],TODAY(),"Y"),DATEDIF(Table1[[#This Row],[Hire]],Table1[[#This Row],[Exit]],"Y"))</f>
        <v>2</v>
      </c>
      <c r="N319" t="str" cm="1">
        <f t="array" ref="N319">_xlfn.IFS(
AND(D319&gt;=26,D319&lt;=30),"26–30",
AND(D319&gt;=31,D319&lt;=35),"31–35",
AND(D319&gt;=36,D319&lt;=40),"36–40",
AND(D319&gt;=41,D319&lt;=45),"41–45",
AND(D319&gt;=46,D319&lt;=50),"46–50",
AND(D319&gt;=51,D319&lt;=60),"51–60")</f>
        <v>41–45</v>
      </c>
    </row>
    <row r="320" spans="1:14" x14ac:dyDescent="0.35">
      <c r="A320" t="s">
        <v>658</v>
      </c>
      <c r="B320" t="s">
        <v>659</v>
      </c>
      <c r="C320" t="s">
        <v>21</v>
      </c>
      <c r="D320">
        <v>30</v>
      </c>
      <c r="E320" t="s">
        <v>92</v>
      </c>
      <c r="F320" t="s">
        <v>59</v>
      </c>
      <c r="G320" t="s">
        <v>34</v>
      </c>
      <c r="H320" s="1">
        <v>44677</v>
      </c>
      <c r="I320" s="1">
        <v>45412</v>
      </c>
      <c r="J320">
        <v>644000</v>
      </c>
      <c r="K320">
        <v>0</v>
      </c>
      <c r="L320" t="s">
        <v>18</v>
      </c>
      <c r="M320">
        <f ca="1">IF(ISBLANK(Table1[[#This Row],[Exit]]),DATEDIF(Table1[[#This Row],[Hire]],TODAY(),"Y"),DATEDIF(Table1[[#This Row],[Hire]],Table1[[#This Row],[Exit]],"Y"))</f>
        <v>2</v>
      </c>
      <c r="N320" t="str" cm="1">
        <f t="array" ref="N320">_xlfn.IFS(
AND(D320&gt;=26,D320&lt;=30),"26–30",
AND(D320&gt;=31,D320&lt;=35),"31–35",
AND(D320&gt;=36,D320&lt;=40),"36–40",
AND(D320&gt;=41,D320&lt;=45),"41–45",
AND(D320&gt;=46,D320&lt;=50),"46–50",
AND(D320&gt;=51,D320&lt;=60),"51–60")</f>
        <v>26–30</v>
      </c>
    </row>
    <row r="321" spans="1:14" x14ac:dyDescent="0.35">
      <c r="A321" t="s">
        <v>660</v>
      </c>
      <c r="B321" t="s">
        <v>661</v>
      </c>
      <c r="C321" t="s">
        <v>21</v>
      </c>
      <c r="D321">
        <v>31</v>
      </c>
      <c r="E321" t="s">
        <v>31</v>
      </c>
      <c r="F321" t="s">
        <v>16</v>
      </c>
      <c r="G321" t="s">
        <v>17</v>
      </c>
      <c r="H321" s="1">
        <v>43889</v>
      </c>
      <c r="J321">
        <v>646000</v>
      </c>
      <c r="K321">
        <v>0</v>
      </c>
      <c r="L321" t="s">
        <v>24</v>
      </c>
      <c r="M321">
        <f ca="1">IF(ISBLANK(Table1[[#This Row],[Exit]]),DATEDIF(Table1[[#This Row],[Hire]],TODAY(),"Y"),DATEDIF(Table1[[#This Row],[Hire]],Table1[[#This Row],[Exit]],"Y"))</f>
        <v>5</v>
      </c>
      <c r="N321" t="str" cm="1">
        <f t="array" ref="N321">_xlfn.IFS(
AND(D321&gt;=26,D321&lt;=30),"26–30",
AND(D321&gt;=31,D321&lt;=35),"31–35",
AND(D321&gt;=36,D321&lt;=40),"36–40",
AND(D321&gt;=41,D321&lt;=45),"41–45",
AND(D321&gt;=46,D321&lt;=50),"46–50",
AND(D321&gt;=51,D321&lt;=60),"51–60")</f>
        <v>31–35</v>
      </c>
    </row>
    <row r="322" spans="1:14" x14ac:dyDescent="0.35">
      <c r="A322" t="s">
        <v>662</v>
      </c>
      <c r="B322" t="s">
        <v>663</v>
      </c>
      <c r="C322" t="s">
        <v>14</v>
      </c>
      <c r="D322">
        <v>38</v>
      </c>
      <c r="E322" t="s">
        <v>15</v>
      </c>
      <c r="F322" t="s">
        <v>16</v>
      </c>
      <c r="G322" t="s">
        <v>17</v>
      </c>
      <c r="H322" s="1">
        <v>44116</v>
      </c>
      <c r="J322">
        <v>648000</v>
      </c>
      <c r="K322">
        <v>0</v>
      </c>
      <c r="L322" t="s">
        <v>24</v>
      </c>
      <c r="M322">
        <f ca="1">IF(ISBLANK(Table1[[#This Row],[Exit]]),DATEDIF(Table1[[#This Row],[Hire]],TODAY(),"Y"),DATEDIF(Table1[[#This Row],[Hire]],Table1[[#This Row],[Exit]],"Y"))</f>
        <v>5</v>
      </c>
      <c r="N322" t="str" cm="1">
        <f t="array" ref="N322">_xlfn.IFS(
AND(D322&gt;=26,D322&lt;=30),"26–30",
AND(D322&gt;=31,D322&lt;=35),"31–35",
AND(D322&gt;=36,D322&lt;=40),"36–40",
AND(D322&gt;=41,D322&lt;=45),"41–45",
AND(D322&gt;=46,D322&lt;=50),"46–50",
AND(D322&gt;=51,D322&lt;=60),"51–60")</f>
        <v>36–40</v>
      </c>
    </row>
    <row r="323" spans="1:14" x14ac:dyDescent="0.35">
      <c r="A323" t="s">
        <v>664</v>
      </c>
      <c r="B323" t="s">
        <v>665</v>
      </c>
      <c r="C323" t="s">
        <v>21</v>
      </c>
      <c r="D323">
        <v>31</v>
      </c>
      <c r="E323" t="s">
        <v>22</v>
      </c>
      <c r="F323" t="s">
        <v>16</v>
      </c>
      <c r="G323" t="s">
        <v>23</v>
      </c>
      <c r="H323" s="1">
        <v>44588</v>
      </c>
      <c r="J323">
        <v>650000</v>
      </c>
      <c r="K323">
        <v>0.28000000000000003</v>
      </c>
      <c r="L323" t="s">
        <v>24</v>
      </c>
      <c r="M323">
        <f ca="1">IF(ISBLANK(Table1[[#This Row],[Exit]]),DATEDIF(Table1[[#This Row],[Hire]],TODAY(),"Y"),DATEDIF(Table1[[#This Row],[Hire]],Table1[[#This Row],[Exit]],"Y"))</f>
        <v>4</v>
      </c>
      <c r="N323" t="str" cm="1">
        <f t="array" ref="N323">_xlfn.IFS(
AND(D323&gt;=26,D323&lt;=30),"26–30",
AND(D323&gt;=31,D323&lt;=35),"31–35",
AND(D323&gt;=36,D323&lt;=40),"36–40",
AND(D323&gt;=41,D323&lt;=45),"41–45",
AND(D323&gt;=46,D323&lt;=50),"46–50",
AND(D323&gt;=51,D323&lt;=60),"51–60")</f>
        <v>31–35</v>
      </c>
    </row>
    <row r="324" spans="1:14" x14ac:dyDescent="0.35">
      <c r="A324" t="s">
        <v>666</v>
      </c>
      <c r="B324" t="s">
        <v>667</v>
      </c>
      <c r="C324" t="s">
        <v>14</v>
      </c>
      <c r="D324">
        <v>39</v>
      </c>
      <c r="E324" t="s">
        <v>27</v>
      </c>
      <c r="F324" t="s">
        <v>28</v>
      </c>
      <c r="G324" t="s">
        <v>17</v>
      </c>
      <c r="H324" s="1">
        <v>45337</v>
      </c>
      <c r="J324">
        <v>652000</v>
      </c>
      <c r="K324">
        <v>0.19</v>
      </c>
      <c r="L324" t="s">
        <v>24</v>
      </c>
      <c r="M324">
        <f ca="1">IF(ISBLANK(Table1[[#This Row],[Exit]]),DATEDIF(Table1[[#This Row],[Hire]],TODAY(),"Y"),DATEDIF(Table1[[#This Row],[Hire]],Table1[[#This Row],[Exit]],"Y"))</f>
        <v>1</v>
      </c>
      <c r="N324" t="str" cm="1">
        <f t="array" ref="N324">_xlfn.IFS(
AND(D324&gt;=26,D324&lt;=30),"26–30",
AND(D324&gt;=31,D324&lt;=35),"31–35",
AND(D324&gt;=36,D324&lt;=40),"36–40",
AND(D324&gt;=41,D324&lt;=45),"41–45",
AND(D324&gt;=46,D324&lt;=50),"46–50",
AND(D324&gt;=51,D324&lt;=60),"51–60")</f>
        <v>36–40</v>
      </c>
    </row>
    <row r="325" spans="1:14" x14ac:dyDescent="0.35">
      <c r="A325" t="s">
        <v>668</v>
      </c>
      <c r="B325" t="s">
        <v>669</v>
      </c>
      <c r="C325" t="s">
        <v>14</v>
      </c>
      <c r="D325">
        <v>31</v>
      </c>
      <c r="E325" t="s">
        <v>31</v>
      </c>
      <c r="F325" t="s">
        <v>16</v>
      </c>
      <c r="G325" t="s">
        <v>23</v>
      </c>
      <c r="H325" s="1">
        <v>43851</v>
      </c>
      <c r="I325" s="1">
        <v>45440</v>
      </c>
      <c r="J325">
        <v>654000</v>
      </c>
      <c r="K325">
        <v>0</v>
      </c>
      <c r="L325" t="s">
        <v>18</v>
      </c>
      <c r="M325">
        <f ca="1">IF(ISBLANK(Table1[[#This Row],[Exit]]),DATEDIF(Table1[[#This Row],[Hire]],TODAY(),"Y"),DATEDIF(Table1[[#This Row],[Hire]],Table1[[#This Row],[Exit]],"Y"))</f>
        <v>4</v>
      </c>
      <c r="N325" t="str" cm="1">
        <f t="array" ref="N325">_xlfn.IFS(
AND(D325&gt;=26,D325&lt;=30),"26–30",
AND(D325&gt;=31,D325&lt;=35),"31–35",
AND(D325&gt;=36,D325&lt;=40),"36–40",
AND(D325&gt;=41,D325&lt;=45),"41–45",
AND(D325&gt;=46,D325&lt;=50),"46–50",
AND(D325&gt;=51,D325&lt;=60),"51–60")</f>
        <v>31–35</v>
      </c>
    </row>
    <row r="326" spans="1:14" x14ac:dyDescent="0.35">
      <c r="A326" t="s">
        <v>670</v>
      </c>
      <c r="B326" t="s">
        <v>671</v>
      </c>
      <c r="C326" t="s">
        <v>14</v>
      </c>
      <c r="D326">
        <v>45</v>
      </c>
      <c r="E326" t="s">
        <v>27</v>
      </c>
      <c r="F326" t="s">
        <v>28</v>
      </c>
      <c r="G326" t="s">
        <v>34</v>
      </c>
      <c r="H326" s="1">
        <v>44183</v>
      </c>
      <c r="J326">
        <v>656000</v>
      </c>
      <c r="K326">
        <v>0.28999999999999998</v>
      </c>
      <c r="L326" t="s">
        <v>24</v>
      </c>
      <c r="M326">
        <f ca="1">IF(ISBLANK(Table1[[#This Row],[Exit]]),DATEDIF(Table1[[#This Row],[Hire]],TODAY(),"Y"),DATEDIF(Table1[[#This Row],[Hire]],Table1[[#This Row],[Exit]],"Y"))</f>
        <v>5</v>
      </c>
      <c r="N326" t="str" cm="1">
        <f t="array" ref="N326">_xlfn.IFS(
AND(D326&gt;=26,D326&lt;=30),"26–30",
AND(D326&gt;=31,D326&lt;=35),"31–35",
AND(D326&gt;=36,D326&lt;=40),"36–40",
AND(D326&gt;=41,D326&lt;=45),"41–45",
AND(D326&gt;=46,D326&lt;=50),"46–50",
AND(D326&gt;=51,D326&lt;=60),"51–60")</f>
        <v>41–45</v>
      </c>
    </row>
    <row r="327" spans="1:14" x14ac:dyDescent="0.35">
      <c r="A327" t="s">
        <v>672</v>
      </c>
      <c r="B327" t="s">
        <v>673</v>
      </c>
      <c r="C327" t="s">
        <v>14</v>
      </c>
      <c r="D327">
        <v>50</v>
      </c>
      <c r="E327" t="s">
        <v>15</v>
      </c>
      <c r="F327" t="s">
        <v>16</v>
      </c>
      <c r="G327" t="s">
        <v>23</v>
      </c>
      <c r="H327" s="1">
        <v>43837</v>
      </c>
      <c r="J327">
        <v>658000</v>
      </c>
      <c r="K327">
        <v>0</v>
      </c>
      <c r="L327" t="s">
        <v>24</v>
      </c>
      <c r="M327">
        <f ca="1">IF(ISBLANK(Table1[[#This Row],[Exit]]),DATEDIF(Table1[[#This Row],[Hire]],TODAY(),"Y"),DATEDIF(Table1[[#This Row],[Hire]],Table1[[#This Row],[Exit]],"Y"))</f>
        <v>6</v>
      </c>
      <c r="N327" t="str" cm="1">
        <f t="array" ref="N327">_xlfn.IFS(
AND(D327&gt;=26,D327&lt;=30),"26–30",
AND(D327&gt;=31,D327&lt;=35),"31–35",
AND(D327&gt;=36,D327&lt;=40),"36–40",
AND(D327&gt;=41,D327&lt;=45),"41–45",
AND(D327&gt;=46,D327&lt;=50),"46–50",
AND(D327&gt;=51,D327&lt;=60),"51–60")</f>
        <v>46–50</v>
      </c>
    </row>
    <row r="328" spans="1:14" x14ac:dyDescent="0.35">
      <c r="A328" t="s">
        <v>674</v>
      </c>
      <c r="B328" t="s">
        <v>675</v>
      </c>
      <c r="C328" t="s">
        <v>21</v>
      </c>
      <c r="D328">
        <v>36</v>
      </c>
      <c r="E328" t="s">
        <v>15</v>
      </c>
      <c r="F328" t="s">
        <v>16</v>
      </c>
      <c r="G328" t="s">
        <v>34</v>
      </c>
      <c r="H328" s="1">
        <v>45206</v>
      </c>
      <c r="J328">
        <v>660000</v>
      </c>
      <c r="K328">
        <v>0</v>
      </c>
      <c r="L328" t="s">
        <v>24</v>
      </c>
      <c r="M328">
        <f ca="1">IF(ISBLANK(Table1[[#This Row],[Exit]]),DATEDIF(Table1[[#This Row],[Hire]],TODAY(),"Y"),DATEDIF(Table1[[#This Row],[Hire]],Table1[[#This Row],[Exit]],"Y"))</f>
        <v>2</v>
      </c>
      <c r="N328" t="str" cm="1">
        <f t="array" ref="N328">_xlfn.IFS(
AND(D328&gt;=26,D328&lt;=30),"26–30",
AND(D328&gt;=31,D328&lt;=35),"31–35",
AND(D328&gt;=36,D328&lt;=40),"36–40",
AND(D328&gt;=41,D328&lt;=45),"41–45",
AND(D328&gt;=46,D328&lt;=50),"46–50",
AND(D328&gt;=51,D328&lt;=60),"51–60")</f>
        <v>36–40</v>
      </c>
    </row>
    <row r="329" spans="1:14" x14ac:dyDescent="0.35">
      <c r="A329" t="s">
        <v>676</v>
      </c>
      <c r="B329" t="s">
        <v>677</v>
      </c>
      <c r="C329" t="s">
        <v>14</v>
      </c>
      <c r="D329">
        <v>45</v>
      </c>
      <c r="E329" t="s">
        <v>42</v>
      </c>
      <c r="F329" t="s">
        <v>43</v>
      </c>
      <c r="G329" t="s">
        <v>34</v>
      </c>
      <c r="H329" s="1">
        <v>44487</v>
      </c>
      <c r="J329">
        <v>662000</v>
      </c>
      <c r="K329">
        <v>0</v>
      </c>
      <c r="L329" t="s">
        <v>24</v>
      </c>
      <c r="M329">
        <f ca="1">IF(ISBLANK(Table1[[#This Row],[Exit]]),DATEDIF(Table1[[#This Row],[Hire]],TODAY(),"Y"),DATEDIF(Table1[[#This Row],[Hire]],Table1[[#This Row],[Exit]],"Y"))</f>
        <v>4</v>
      </c>
      <c r="N329" t="str" cm="1">
        <f t="array" ref="N329">_xlfn.IFS(
AND(D329&gt;=26,D329&lt;=30),"26–30",
AND(D329&gt;=31,D329&lt;=35),"31–35",
AND(D329&gt;=36,D329&lt;=40),"36–40",
AND(D329&gt;=41,D329&lt;=45),"41–45",
AND(D329&gt;=46,D329&lt;=50),"46–50",
AND(D329&gt;=51,D329&lt;=60),"51–60")</f>
        <v>41–45</v>
      </c>
    </row>
    <row r="330" spans="1:14" x14ac:dyDescent="0.35">
      <c r="A330" t="s">
        <v>678</v>
      </c>
      <c r="B330" t="s">
        <v>679</v>
      </c>
      <c r="C330" t="s">
        <v>21</v>
      </c>
      <c r="D330">
        <v>31</v>
      </c>
      <c r="E330" t="s">
        <v>42</v>
      </c>
      <c r="F330" t="s">
        <v>46</v>
      </c>
      <c r="G330" t="s">
        <v>23</v>
      </c>
      <c r="H330" s="1">
        <v>44791</v>
      </c>
      <c r="J330">
        <v>664000</v>
      </c>
      <c r="K330">
        <v>0.11</v>
      </c>
      <c r="L330" t="s">
        <v>24</v>
      </c>
      <c r="M330">
        <f ca="1">IF(ISBLANK(Table1[[#This Row],[Exit]]),DATEDIF(Table1[[#This Row],[Hire]],TODAY(),"Y"),DATEDIF(Table1[[#This Row],[Hire]],Table1[[#This Row],[Exit]],"Y"))</f>
        <v>3</v>
      </c>
      <c r="N330" t="str" cm="1">
        <f t="array" ref="N330">_xlfn.IFS(
AND(D330&gt;=26,D330&lt;=30),"26–30",
AND(D330&gt;=31,D330&lt;=35),"31–35",
AND(D330&gt;=36,D330&lt;=40),"36–40",
AND(D330&gt;=41,D330&lt;=45),"41–45",
AND(D330&gt;=46,D330&lt;=50),"46–50",
AND(D330&gt;=51,D330&lt;=60),"51–60")</f>
        <v>31–35</v>
      </c>
    </row>
    <row r="331" spans="1:14" x14ac:dyDescent="0.35">
      <c r="A331" t="s">
        <v>680</v>
      </c>
      <c r="B331" t="s">
        <v>681</v>
      </c>
      <c r="C331" t="s">
        <v>14</v>
      </c>
      <c r="D331">
        <v>41</v>
      </c>
      <c r="E331" t="s">
        <v>42</v>
      </c>
      <c r="F331" t="s">
        <v>49</v>
      </c>
      <c r="G331" t="s">
        <v>17</v>
      </c>
      <c r="H331" s="1">
        <v>45440</v>
      </c>
      <c r="J331">
        <v>666000</v>
      </c>
      <c r="K331">
        <v>0</v>
      </c>
      <c r="L331" t="s">
        <v>24</v>
      </c>
      <c r="M331">
        <f ca="1">IF(ISBLANK(Table1[[#This Row],[Exit]]),DATEDIF(Table1[[#This Row],[Hire]],TODAY(),"Y"),DATEDIF(Table1[[#This Row],[Hire]],Table1[[#This Row],[Exit]],"Y"))</f>
        <v>1</v>
      </c>
      <c r="N331" t="str" cm="1">
        <f t="array" ref="N331">_xlfn.IFS(
AND(D331&gt;=26,D331&lt;=30),"26–30",
AND(D331&gt;=31,D331&lt;=35),"31–35",
AND(D331&gt;=36,D331&lt;=40),"36–40",
AND(D331&gt;=41,D331&lt;=45),"41–45",
AND(D331&gt;=46,D331&lt;=50),"46–50",
AND(D331&gt;=51,D331&lt;=60),"51–60")</f>
        <v>41–45</v>
      </c>
    </row>
    <row r="332" spans="1:14" x14ac:dyDescent="0.35">
      <c r="A332" t="s">
        <v>682</v>
      </c>
      <c r="B332" t="s">
        <v>683</v>
      </c>
      <c r="C332" t="s">
        <v>21</v>
      </c>
      <c r="D332">
        <v>47</v>
      </c>
      <c r="E332" t="s">
        <v>52</v>
      </c>
      <c r="F332" t="s">
        <v>16</v>
      </c>
      <c r="G332" t="s">
        <v>53</v>
      </c>
      <c r="H332" s="1">
        <v>44811</v>
      </c>
      <c r="J332">
        <v>668000</v>
      </c>
      <c r="K332">
        <v>0</v>
      </c>
      <c r="L332" t="s">
        <v>24</v>
      </c>
      <c r="M332">
        <f ca="1">IF(ISBLANK(Table1[[#This Row],[Exit]]),DATEDIF(Table1[[#This Row],[Hire]],TODAY(),"Y"),DATEDIF(Table1[[#This Row],[Hire]],Table1[[#This Row],[Exit]],"Y"))</f>
        <v>3</v>
      </c>
      <c r="N332" t="str" cm="1">
        <f t="array" ref="N332">_xlfn.IFS(
AND(D332&gt;=26,D332&lt;=30),"26–30",
AND(D332&gt;=31,D332&lt;=35),"31–35",
AND(D332&gt;=36,D332&lt;=40),"36–40",
AND(D332&gt;=41,D332&lt;=45),"41–45",
AND(D332&gt;=46,D332&lt;=50),"46–50",
AND(D332&gt;=51,D332&lt;=60),"51–60")</f>
        <v>46–50</v>
      </c>
    </row>
    <row r="333" spans="1:14" x14ac:dyDescent="0.35">
      <c r="A333" t="s">
        <v>684</v>
      </c>
      <c r="B333" t="s">
        <v>685</v>
      </c>
      <c r="C333" t="s">
        <v>21</v>
      </c>
      <c r="D333">
        <v>38</v>
      </c>
      <c r="E333" t="s">
        <v>42</v>
      </c>
      <c r="F333" t="s">
        <v>46</v>
      </c>
      <c r="G333" t="s">
        <v>53</v>
      </c>
      <c r="H333" s="1">
        <v>45294</v>
      </c>
      <c r="J333">
        <v>670000</v>
      </c>
      <c r="K333">
        <v>7.0000000000000007E-2</v>
      </c>
      <c r="L333" t="s">
        <v>24</v>
      </c>
      <c r="M333">
        <f ca="1">IF(ISBLANK(Table1[[#This Row],[Exit]]),DATEDIF(Table1[[#This Row],[Hire]],TODAY(),"Y"),DATEDIF(Table1[[#This Row],[Hire]],Table1[[#This Row],[Exit]],"Y"))</f>
        <v>2</v>
      </c>
      <c r="N333" t="str" cm="1">
        <f t="array" ref="N333">_xlfn.IFS(
AND(D333&gt;=26,D333&lt;=30),"26–30",
AND(D333&gt;=31,D333&lt;=35),"31–35",
AND(D333&gt;=36,D333&lt;=40),"36–40",
AND(D333&gt;=41,D333&lt;=45),"41–45",
AND(D333&gt;=46,D333&lt;=50),"46–50",
AND(D333&gt;=51,D333&lt;=60),"51–60")</f>
        <v>36–40</v>
      </c>
    </row>
    <row r="334" spans="1:14" x14ac:dyDescent="0.35">
      <c r="A334" t="s">
        <v>351</v>
      </c>
      <c r="B334" t="s">
        <v>686</v>
      </c>
      <c r="C334" t="s">
        <v>41</v>
      </c>
      <c r="D334">
        <v>40</v>
      </c>
      <c r="E334" t="s">
        <v>58</v>
      </c>
      <c r="F334" t="s">
        <v>59</v>
      </c>
      <c r="G334" t="s">
        <v>34</v>
      </c>
      <c r="H334" s="1">
        <v>45074</v>
      </c>
      <c r="J334">
        <v>672000</v>
      </c>
      <c r="K334">
        <v>0.36</v>
      </c>
      <c r="L334" t="s">
        <v>24</v>
      </c>
      <c r="M334">
        <f ca="1">IF(ISBLANK(Table1[[#This Row],[Exit]]),DATEDIF(Table1[[#This Row],[Hire]],TODAY(),"Y"),DATEDIF(Table1[[#This Row],[Hire]],Table1[[#This Row],[Exit]],"Y"))</f>
        <v>2</v>
      </c>
      <c r="N334" t="str" cm="1">
        <f t="array" ref="N334">_xlfn.IFS(
AND(D334&gt;=26,D334&lt;=30),"26–30",
AND(D334&gt;=31,D334&lt;=35),"31–35",
AND(D334&gt;=36,D334&lt;=40),"36–40",
AND(D334&gt;=41,D334&lt;=45),"41–45",
AND(D334&gt;=46,D334&lt;=50),"46–50",
AND(D334&gt;=51,D334&lt;=60),"51–60")</f>
        <v>36–40</v>
      </c>
    </row>
    <row r="335" spans="1:14" x14ac:dyDescent="0.35">
      <c r="A335" t="s">
        <v>687</v>
      </c>
      <c r="B335" t="s">
        <v>688</v>
      </c>
      <c r="C335" t="s">
        <v>14</v>
      </c>
      <c r="D335">
        <v>45</v>
      </c>
      <c r="E335" t="s">
        <v>52</v>
      </c>
      <c r="F335" t="s">
        <v>16</v>
      </c>
      <c r="G335" t="s">
        <v>23</v>
      </c>
      <c r="H335" s="1">
        <v>45245</v>
      </c>
      <c r="J335">
        <v>674000</v>
      </c>
      <c r="K335">
        <v>0</v>
      </c>
      <c r="L335" t="s">
        <v>24</v>
      </c>
      <c r="M335">
        <f ca="1">IF(ISBLANK(Table1[[#This Row],[Exit]]),DATEDIF(Table1[[#This Row],[Hire]],TODAY(),"Y"),DATEDIF(Table1[[#This Row],[Hire]],Table1[[#This Row],[Exit]],"Y"))</f>
        <v>2</v>
      </c>
      <c r="N335" t="str" cm="1">
        <f t="array" ref="N335">_xlfn.IFS(
AND(D335&gt;=26,D335&lt;=30),"26–30",
AND(D335&gt;=31,D335&lt;=35),"31–35",
AND(D335&gt;=36,D335&lt;=40),"36–40",
AND(D335&gt;=41,D335&lt;=45),"41–45",
AND(D335&gt;=46,D335&lt;=50),"46–50",
AND(D335&gt;=51,D335&lt;=60),"51–60")</f>
        <v>41–45</v>
      </c>
    </row>
    <row r="336" spans="1:14" x14ac:dyDescent="0.35">
      <c r="A336" t="s">
        <v>689</v>
      </c>
      <c r="B336" t="s">
        <v>690</v>
      </c>
      <c r="C336" t="s">
        <v>14</v>
      </c>
      <c r="D336">
        <v>26</v>
      </c>
      <c r="E336" t="s">
        <v>52</v>
      </c>
      <c r="F336" t="s">
        <v>16</v>
      </c>
      <c r="G336" t="s">
        <v>34</v>
      </c>
      <c r="H336" s="1">
        <v>43851</v>
      </c>
      <c r="J336">
        <v>676000</v>
      </c>
      <c r="K336">
        <v>0.32</v>
      </c>
      <c r="L336" t="s">
        <v>24</v>
      </c>
      <c r="M336">
        <f ca="1">IF(ISBLANK(Table1[[#This Row],[Exit]]),DATEDIF(Table1[[#This Row],[Hire]],TODAY(),"Y"),DATEDIF(Table1[[#This Row],[Hire]],Table1[[#This Row],[Exit]],"Y"))</f>
        <v>6</v>
      </c>
      <c r="N336" t="str" cm="1">
        <f t="array" ref="N336">_xlfn.IFS(
AND(D336&gt;=26,D336&lt;=30),"26–30",
AND(D336&gt;=31,D336&lt;=35),"31–35",
AND(D336&gt;=36,D336&lt;=40),"36–40",
AND(D336&gt;=41,D336&lt;=45),"41–45",
AND(D336&gt;=46,D336&lt;=50),"46–50",
AND(D336&gt;=51,D336&lt;=60),"51–60")</f>
        <v>26–30</v>
      </c>
    </row>
    <row r="337" spans="1:14" x14ac:dyDescent="0.35">
      <c r="A337" t="s">
        <v>691</v>
      </c>
      <c r="B337" t="s">
        <v>692</v>
      </c>
      <c r="C337" t="s">
        <v>14</v>
      </c>
      <c r="D337">
        <v>35</v>
      </c>
      <c r="E337" t="s">
        <v>66</v>
      </c>
      <c r="F337" t="s">
        <v>16</v>
      </c>
      <c r="G337" t="s">
        <v>17</v>
      </c>
      <c r="H337" s="1">
        <v>45206</v>
      </c>
      <c r="J337">
        <v>678000</v>
      </c>
      <c r="K337">
        <v>0</v>
      </c>
      <c r="L337" t="s">
        <v>24</v>
      </c>
      <c r="M337">
        <f ca="1">IF(ISBLANK(Table1[[#This Row],[Exit]]),DATEDIF(Table1[[#This Row],[Hire]],TODAY(),"Y"),DATEDIF(Table1[[#This Row],[Hire]],Table1[[#This Row],[Exit]],"Y"))</f>
        <v>2</v>
      </c>
      <c r="N337" t="str" cm="1">
        <f t="array" ref="N337">_xlfn.IFS(
AND(D337&gt;=26,D337&lt;=30),"26–30",
AND(D337&gt;=31,D337&lt;=35),"31–35",
AND(D337&gt;=36,D337&lt;=40),"36–40",
AND(D337&gt;=41,D337&lt;=45),"41–45",
AND(D337&gt;=46,D337&lt;=50),"46–50",
AND(D337&gt;=51,D337&lt;=60),"51–60")</f>
        <v>31–35</v>
      </c>
    </row>
    <row r="338" spans="1:14" x14ac:dyDescent="0.35">
      <c r="A338" t="s">
        <v>693</v>
      </c>
      <c r="B338" t="s">
        <v>694</v>
      </c>
      <c r="C338" t="s">
        <v>14</v>
      </c>
      <c r="D338">
        <v>29</v>
      </c>
      <c r="E338" t="s">
        <v>58</v>
      </c>
      <c r="F338" t="s">
        <v>59</v>
      </c>
      <c r="G338" t="s">
        <v>23</v>
      </c>
      <c r="H338" s="1">
        <v>45401</v>
      </c>
      <c r="J338">
        <v>680000</v>
      </c>
      <c r="K338">
        <v>0.2</v>
      </c>
      <c r="L338" t="s">
        <v>24</v>
      </c>
      <c r="M338">
        <f ca="1">IF(ISBLANK(Table1[[#This Row],[Exit]]),DATEDIF(Table1[[#This Row],[Hire]],TODAY(),"Y"),DATEDIF(Table1[[#This Row],[Hire]],Table1[[#This Row],[Exit]],"Y"))</f>
        <v>1</v>
      </c>
      <c r="N338" t="str" cm="1">
        <f t="array" ref="N338">_xlfn.IFS(
AND(D338&gt;=26,D338&lt;=30),"26–30",
AND(D338&gt;=31,D338&lt;=35),"31–35",
AND(D338&gt;=36,D338&lt;=40),"36–40",
AND(D338&gt;=41,D338&lt;=45),"41–45",
AND(D338&gt;=46,D338&lt;=50),"46–50",
AND(D338&gt;=51,D338&lt;=60),"51–60")</f>
        <v>26–30</v>
      </c>
    </row>
    <row r="339" spans="1:14" x14ac:dyDescent="0.35">
      <c r="A339" t="s">
        <v>695</v>
      </c>
      <c r="B339" t="s">
        <v>696</v>
      </c>
      <c r="C339" t="s">
        <v>21</v>
      </c>
      <c r="D339">
        <v>35</v>
      </c>
      <c r="E339" t="s">
        <v>66</v>
      </c>
      <c r="F339" t="s">
        <v>16</v>
      </c>
      <c r="G339" t="s">
        <v>34</v>
      </c>
      <c r="H339" s="1">
        <v>44083</v>
      </c>
      <c r="J339">
        <v>682000</v>
      </c>
      <c r="K339">
        <v>0.05</v>
      </c>
      <c r="L339" t="s">
        <v>24</v>
      </c>
      <c r="M339">
        <f ca="1">IF(ISBLANK(Table1[[#This Row],[Exit]]),DATEDIF(Table1[[#This Row],[Hire]],TODAY(),"Y"),DATEDIF(Table1[[#This Row],[Hire]],Table1[[#This Row],[Exit]],"Y"))</f>
        <v>5</v>
      </c>
      <c r="N339" t="str" cm="1">
        <f t="array" ref="N339">_xlfn.IFS(
AND(D339&gt;=26,D339&lt;=30),"26–30",
AND(D339&gt;=31,D339&lt;=35),"31–35",
AND(D339&gt;=36,D339&lt;=40),"36–40",
AND(D339&gt;=41,D339&lt;=45),"41–45",
AND(D339&gt;=46,D339&lt;=50),"46–50",
AND(D339&gt;=51,D339&lt;=60),"51–60")</f>
        <v>31–35</v>
      </c>
    </row>
    <row r="340" spans="1:14" x14ac:dyDescent="0.35">
      <c r="A340" t="s">
        <v>697</v>
      </c>
      <c r="B340" t="s">
        <v>698</v>
      </c>
      <c r="C340" t="s">
        <v>14</v>
      </c>
      <c r="D340">
        <v>27</v>
      </c>
      <c r="E340" t="s">
        <v>66</v>
      </c>
      <c r="F340" t="s">
        <v>16</v>
      </c>
      <c r="G340" t="s">
        <v>53</v>
      </c>
      <c r="H340" s="1">
        <v>45233</v>
      </c>
      <c r="J340">
        <v>684000</v>
      </c>
      <c r="K340">
        <v>0.22</v>
      </c>
      <c r="L340" t="s">
        <v>24</v>
      </c>
      <c r="M340">
        <f ca="1">IF(ISBLANK(Table1[[#This Row],[Exit]]),DATEDIF(Table1[[#This Row],[Hire]],TODAY(),"Y"),DATEDIF(Table1[[#This Row],[Hire]],Table1[[#This Row],[Exit]],"Y"))</f>
        <v>2</v>
      </c>
      <c r="N340" t="str" cm="1">
        <f t="array" ref="N340">_xlfn.IFS(
AND(D340&gt;=26,D340&lt;=30),"26–30",
AND(D340&gt;=31,D340&lt;=35),"31–35",
AND(D340&gt;=36,D340&lt;=40),"36–40",
AND(D340&gt;=41,D340&lt;=45),"41–45",
AND(D340&gt;=46,D340&lt;=50),"46–50",
AND(D340&gt;=51,D340&lt;=60),"51–60")</f>
        <v>26–30</v>
      </c>
    </row>
    <row r="341" spans="1:14" x14ac:dyDescent="0.35">
      <c r="A341" t="s">
        <v>699</v>
      </c>
      <c r="B341" t="s">
        <v>700</v>
      </c>
      <c r="C341" t="s">
        <v>14</v>
      </c>
      <c r="D341">
        <v>26</v>
      </c>
      <c r="E341" t="s">
        <v>58</v>
      </c>
      <c r="F341" t="s">
        <v>59</v>
      </c>
      <c r="G341" t="s">
        <v>53</v>
      </c>
      <c r="H341" s="1">
        <v>45412</v>
      </c>
      <c r="J341">
        <v>686000</v>
      </c>
      <c r="K341">
        <v>0</v>
      </c>
      <c r="L341" t="s">
        <v>24</v>
      </c>
      <c r="M341">
        <f ca="1">IF(ISBLANK(Table1[[#This Row],[Exit]]),DATEDIF(Table1[[#This Row],[Hire]],TODAY(),"Y"),DATEDIF(Table1[[#This Row],[Hire]],Table1[[#This Row],[Exit]],"Y"))</f>
        <v>1</v>
      </c>
      <c r="N341" t="str" cm="1">
        <f t="array" ref="N341">_xlfn.IFS(
AND(D341&gt;=26,D341&lt;=30),"26–30",
AND(D341&gt;=31,D341&lt;=35),"31–35",
AND(D341&gt;=36,D341&lt;=40),"36–40",
AND(D341&gt;=41,D341&lt;=45),"41–45",
AND(D341&gt;=46,D341&lt;=50),"46–50",
AND(D341&gt;=51,D341&lt;=60),"51–60")</f>
        <v>26–30</v>
      </c>
    </row>
    <row r="342" spans="1:14" x14ac:dyDescent="0.35">
      <c r="A342" t="s">
        <v>701</v>
      </c>
      <c r="B342" t="s">
        <v>702</v>
      </c>
      <c r="C342" t="s">
        <v>14</v>
      </c>
      <c r="D342">
        <v>27</v>
      </c>
      <c r="E342" t="s">
        <v>15</v>
      </c>
      <c r="F342" t="s">
        <v>16</v>
      </c>
      <c r="G342" t="s">
        <v>53</v>
      </c>
      <c r="H342" s="1">
        <v>43887</v>
      </c>
      <c r="J342">
        <v>688000</v>
      </c>
      <c r="K342">
        <v>0</v>
      </c>
      <c r="L342" t="s">
        <v>24</v>
      </c>
      <c r="M342">
        <f ca="1">IF(ISBLANK(Table1[[#This Row],[Exit]]),DATEDIF(Table1[[#This Row],[Hire]],TODAY(),"Y"),DATEDIF(Table1[[#This Row],[Hire]],Table1[[#This Row],[Exit]],"Y"))</f>
        <v>5</v>
      </c>
      <c r="N342" t="str" cm="1">
        <f t="array" ref="N342">_xlfn.IFS(
AND(D342&gt;=26,D342&lt;=30),"26–30",
AND(D342&gt;=31,D342&lt;=35),"31–35",
AND(D342&gt;=36,D342&lt;=40),"36–40",
AND(D342&gt;=41,D342&lt;=45),"41–45",
AND(D342&gt;=46,D342&lt;=50),"46–50",
AND(D342&gt;=51,D342&lt;=60),"51–60")</f>
        <v>26–30</v>
      </c>
    </row>
    <row r="343" spans="1:14" x14ac:dyDescent="0.35">
      <c r="A343" t="s">
        <v>703</v>
      </c>
      <c r="B343" t="s">
        <v>704</v>
      </c>
      <c r="C343" t="s">
        <v>14</v>
      </c>
      <c r="D343">
        <v>30</v>
      </c>
      <c r="E343" t="s">
        <v>22</v>
      </c>
      <c r="F343" t="s">
        <v>16</v>
      </c>
      <c r="G343" t="s">
        <v>53</v>
      </c>
      <c r="H343" s="1">
        <v>44815</v>
      </c>
      <c r="J343">
        <v>690000</v>
      </c>
      <c r="K343">
        <v>0</v>
      </c>
      <c r="L343" t="s">
        <v>24</v>
      </c>
      <c r="M343">
        <f ca="1">IF(ISBLANK(Table1[[#This Row],[Exit]]),DATEDIF(Table1[[#This Row],[Hire]],TODAY(),"Y"),DATEDIF(Table1[[#This Row],[Hire]],Table1[[#This Row],[Exit]],"Y"))</f>
        <v>3</v>
      </c>
      <c r="N343" t="str" cm="1">
        <f t="array" ref="N343">_xlfn.IFS(
AND(D343&gt;=26,D343&lt;=30),"26–30",
AND(D343&gt;=31,D343&lt;=35),"31–35",
AND(D343&gt;=36,D343&lt;=40),"36–40",
AND(D343&gt;=41,D343&lt;=45),"41–45",
AND(D343&gt;=46,D343&lt;=50),"46–50",
AND(D343&gt;=51,D343&lt;=60),"51–60")</f>
        <v>26–30</v>
      </c>
    </row>
    <row r="344" spans="1:14" x14ac:dyDescent="0.35">
      <c r="A344" t="s">
        <v>705</v>
      </c>
      <c r="B344" t="s">
        <v>706</v>
      </c>
      <c r="C344" t="s">
        <v>14</v>
      </c>
      <c r="D344">
        <v>36</v>
      </c>
      <c r="E344" t="s">
        <v>81</v>
      </c>
      <c r="F344" t="s">
        <v>43</v>
      </c>
      <c r="G344" t="s">
        <v>53</v>
      </c>
      <c r="H344" s="1">
        <v>45430</v>
      </c>
      <c r="J344">
        <v>692000</v>
      </c>
      <c r="K344">
        <v>0.12</v>
      </c>
      <c r="L344" t="s">
        <v>24</v>
      </c>
      <c r="M344">
        <f ca="1">IF(ISBLANK(Table1[[#This Row],[Exit]]),DATEDIF(Table1[[#This Row],[Hire]],TODAY(),"Y"),DATEDIF(Table1[[#This Row],[Hire]],Table1[[#This Row],[Exit]],"Y"))</f>
        <v>1</v>
      </c>
      <c r="N344" t="str" cm="1">
        <f t="array" ref="N344">_xlfn.IFS(
AND(D344&gt;=26,D344&lt;=30),"26–30",
AND(D344&gt;=31,D344&lt;=35),"31–35",
AND(D344&gt;=36,D344&lt;=40),"36–40",
AND(D344&gt;=41,D344&lt;=45),"41–45",
AND(D344&gt;=46,D344&lt;=50),"46–50",
AND(D344&gt;=51,D344&lt;=60),"51–60")</f>
        <v>36–40</v>
      </c>
    </row>
    <row r="345" spans="1:14" x14ac:dyDescent="0.35">
      <c r="A345" t="s">
        <v>707</v>
      </c>
      <c r="B345" t="s">
        <v>708</v>
      </c>
      <c r="C345" t="s">
        <v>41</v>
      </c>
      <c r="D345">
        <v>45</v>
      </c>
      <c r="E345" t="s">
        <v>52</v>
      </c>
      <c r="F345" t="s">
        <v>16</v>
      </c>
      <c r="G345" t="s">
        <v>17</v>
      </c>
      <c r="H345" s="1">
        <v>44509</v>
      </c>
      <c r="J345">
        <v>694000</v>
      </c>
      <c r="K345">
        <v>0</v>
      </c>
      <c r="L345" t="s">
        <v>24</v>
      </c>
      <c r="M345">
        <f ca="1">IF(ISBLANK(Table1[[#This Row],[Exit]]),DATEDIF(Table1[[#This Row],[Hire]],TODAY(),"Y"),DATEDIF(Table1[[#This Row],[Hire]],Table1[[#This Row],[Exit]],"Y"))</f>
        <v>4</v>
      </c>
      <c r="N345" t="str" cm="1">
        <f t="array" ref="N345">_xlfn.IFS(
AND(D345&gt;=26,D345&lt;=30),"26–30",
AND(D345&gt;=31,D345&lt;=35),"31–35",
AND(D345&gt;=36,D345&lt;=40),"36–40",
AND(D345&gt;=41,D345&lt;=45),"41–45",
AND(D345&gt;=46,D345&lt;=50),"46–50",
AND(D345&gt;=51,D345&lt;=60),"51–60")</f>
        <v>41–45</v>
      </c>
    </row>
    <row r="346" spans="1:14" x14ac:dyDescent="0.35">
      <c r="A346" t="s">
        <v>709</v>
      </c>
      <c r="B346" t="s">
        <v>710</v>
      </c>
      <c r="C346" t="s">
        <v>14</v>
      </c>
      <c r="D346">
        <v>37</v>
      </c>
      <c r="E346" t="s">
        <v>66</v>
      </c>
      <c r="F346" t="s">
        <v>16</v>
      </c>
      <c r="G346" t="s">
        <v>23</v>
      </c>
      <c r="H346" s="1">
        <v>43963</v>
      </c>
      <c r="J346">
        <v>696000</v>
      </c>
      <c r="K346">
        <v>0</v>
      </c>
      <c r="L346" t="s">
        <v>24</v>
      </c>
      <c r="M346">
        <f ca="1">IF(ISBLANK(Table1[[#This Row],[Exit]]),DATEDIF(Table1[[#This Row],[Hire]],TODAY(),"Y"),DATEDIF(Table1[[#This Row],[Hire]],Table1[[#This Row],[Exit]],"Y"))</f>
        <v>5</v>
      </c>
      <c r="N346" t="str" cm="1">
        <f t="array" ref="N346">_xlfn.IFS(
AND(D346&gt;=26,D346&lt;=30),"26–30",
AND(D346&gt;=31,D346&lt;=35),"31–35",
AND(D346&gt;=36,D346&lt;=40),"36–40",
AND(D346&gt;=41,D346&lt;=45),"41–45",
AND(D346&gt;=46,D346&lt;=50),"46–50",
AND(D346&gt;=51,D346&lt;=60),"51–60")</f>
        <v>36–40</v>
      </c>
    </row>
    <row r="347" spans="1:14" x14ac:dyDescent="0.35">
      <c r="A347" t="s">
        <v>711</v>
      </c>
      <c r="B347" t="s">
        <v>712</v>
      </c>
      <c r="C347" t="s">
        <v>21</v>
      </c>
      <c r="D347">
        <v>38</v>
      </c>
      <c r="E347" t="s">
        <v>31</v>
      </c>
      <c r="F347" t="s">
        <v>16</v>
      </c>
      <c r="G347" t="s">
        <v>53</v>
      </c>
      <c r="H347" s="1">
        <v>44815</v>
      </c>
      <c r="J347">
        <v>698000</v>
      </c>
      <c r="K347">
        <v>0.1</v>
      </c>
      <c r="L347" t="s">
        <v>24</v>
      </c>
      <c r="M347">
        <f ca="1">IF(ISBLANK(Table1[[#This Row],[Exit]]),DATEDIF(Table1[[#This Row],[Hire]],TODAY(),"Y"),DATEDIF(Table1[[#This Row],[Hire]],Table1[[#This Row],[Exit]],"Y"))</f>
        <v>3</v>
      </c>
      <c r="N347" t="str" cm="1">
        <f t="array" ref="N347">_xlfn.IFS(
AND(D347&gt;=26,D347&lt;=30),"26–30",
AND(D347&gt;=31,D347&lt;=35),"31–35",
AND(D347&gt;=36,D347&lt;=40),"36–40",
AND(D347&gt;=41,D347&lt;=45),"41–45",
AND(D347&gt;=46,D347&lt;=50),"46–50",
AND(D347&gt;=51,D347&lt;=60),"51–60")</f>
        <v>36–40</v>
      </c>
    </row>
    <row r="348" spans="1:14" x14ac:dyDescent="0.35">
      <c r="A348" t="s">
        <v>713</v>
      </c>
      <c r="B348" t="s">
        <v>714</v>
      </c>
      <c r="C348" t="s">
        <v>41</v>
      </c>
      <c r="D348">
        <v>45</v>
      </c>
      <c r="E348" t="s">
        <v>81</v>
      </c>
      <c r="F348" t="s">
        <v>49</v>
      </c>
      <c r="G348" t="s">
        <v>34</v>
      </c>
      <c r="H348" s="1">
        <v>44857</v>
      </c>
      <c r="J348">
        <v>700000</v>
      </c>
      <c r="K348">
        <v>0.32</v>
      </c>
      <c r="L348" t="s">
        <v>24</v>
      </c>
      <c r="M348">
        <f ca="1">IF(ISBLANK(Table1[[#This Row],[Exit]]),DATEDIF(Table1[[#This Row],[Hire]],TODAY(),"Y"),DATEDIF(Table1[[#This Row],[Hire]],Table1[[#This Row],[Exit]],"Y"))</f>
        <v>3</v>
      </c>
      <c r="N348" t="str" cm="1">
        <f t="array" ref="N348">_xlfn.IFS(
AND(D348&gt;=26,D348&lt;=30),"26–30",
AND(D348&gt;=31,D348&lt;=35),"31–35",
AND(D348&gt;=36,D348&lt;=40),"36–40",
AND(D348&gt;=41,D348&lt;=45),"41–45",
AND(D348&gt;=46,D348&lt;=50),"46–50",
AND(D348&gt;=51,D348&lt;=60),"51–60")</f>
        <v>41–45</v>
      </c>
    </row>
    <row r="349" spans="1:14" x14ac:dyDescent="0.35">
      <c r="A349" t="s">
        <v>715</v>
      </c>
      <c r="B349" t="s">
        <v>716</v>
      </c>
      <c r="C349" t="s">
        <v>14</v>
      </c>
      <c r="D349">
        <v>51</v>
      </c>
      <c r="E349" t="s">
        <v>92</v>
      </c>
      <c r="F349" t="s">
        <v>59</v>
      </c>
      <c r="G349" t="s">
        <v>53</v>
      </c>
      <c r="H349" s="1">
        <v>45527</v>
      </c>
      <c r="J349">
        <v>702000</v>
      </c>
      <c r="K349">
        <v>0.28999999999999998</v>
      </c>
      <c r="L349" t="s">
        <v>24</v>
      </c>
      <c r="M349">
        <f ca="1">IF(ISBLANK(Table1[[#This Row],[Exit]]),DATEDIF(Table1[[#This Row],[Hire]],TODAY(),"Y"),DATEDIF(Table1[[#This Row],[Hire]],Table1[[#This Row],[Exit]],"Y"))</f>
        <v>1</v>
      </c>
      <c r="N349" t="str" cm="1">
        <f t="array" ref="N349">_xlfn.IFS(
AND(D349&gt;=26,D349&lt;=30),"26–30",
AND(D349&gt;=31,D349&lt;=35),"31–35",
AND(D349&gt;=36,D349&lt;=40),"36–40",
AND(D349&gt;=41,D349&lt;=45),"41–45",
AND(D349&gt;=46,D349&lt;=50),"46–50",
AND(D349&gt;=51,D349&lt;=60),"51–60")</f>
        <v>51–60</v>
      </c>
    </row>
    <row r="350" spans="1:14" x14ac:dyDescent="0.35">
      <c r="A350" t="s">
        <v>717</v>
      </c>
      <c r="B350" t="s">
        <v>718</v>
      </c>
      <c r="C350" t="s">
        <v>14</v>
      </c>
      <c r="D350">
        <v>56</v>
      </c>
      <c r="E350" t="s">
        <v>81</v>
      </c>
      <c r="F350" t="s">
        <v>46</v>
      </c>
      <c r="G350" t="s">
        <v>23</v>
      </c>
      <c r="H350" s="1">
        <v>45237</v>
      </c>
      <c r="J350">
        <v>704000</v>
      </c>
      <c r="K350">
        <v>0</v>
      </c>
      <c r="L350" t="s">
        <v>24</v>
      </c>
      <c r="M350">
        <f ca="1">IF(ISBLANK(Table1[[#This Row],[Exit]]),DATEDIF(Table1[[#This Row],[Hire]],TODAY(),"Y"),DATEDIF(Table1[[#This Row],[Hire]],Table1[[#This Row],[Exit]],"Y"))</f>
        <v>2</v>
      </c>
      <c r="N350" t="str" cm="1">
        <f t="array" ref="N350">_xlfn.IFS(
AND(D350&gt;=26,D350&lt;=30),"26–30",
AND(D350&gt;=31,D350&lt;=35),"31–35",
AND(D350&gt;=36,D350&lt;=40),"36–40",
AND(D350&gt;=41,D350&lt;=45),"41–45",
AND(D350&gt;=46,D350&lt;=50),"46–50",
AND(D350&gt;=51,D350&lt;=60),"51–60")</f>
        <v>51–60</v>
      </c>
    </row>
    <row r="351" spans="1:14" x14ac:dyDescent="0.35">
      <c r="A351" t="s">
        <v>719</v>
      </c>
      <c r="B351" t="s">
        <v>720</v>
      </c>
      <c r="C351" t="s">
        <v>14</v>
      </c>
      <c r="D351">
        <v>53</v>
      </c>
      <c r="E351" t="s">
        <v>22</v>
      </c>
      <c r="F351" t="s">
        <v>16</v>
      </c>
      <c r="G351" t="s">
        <v>34</v>
      </c>
      <c r="H351" s="1">
        <v>43837</v>
      </c>
      <c r="I351" s="1">
        <v>45332</v>
      </c>
      <c r="J351">
        <v>706000</v>
      </c>
      <c r="K351">
        <v>0</v>
      </c>
      <c r="L351" t="s">
        <v>18</v>
      </c>
      <c r="M351">
        <f ca="1">IF(ISBLANK(Table1[[#This Row],[Exit]]),DATEDIF(Table1[[#This Row],[Hire]],TODAY(),"Y"),DATEDIF(Table1[[#This Row],[Hire]],Table1[[#This Row],[Exit]],"Y"))</f>
        <v>4</v>
      </c>
      <c r="N351" t="str" cm="1">
        <f t="array" ref="N351">_xlfn.IFS(
AND(D351&gt;=26,D351&lt;=30),"26–30",
AND(D351&gt;=31,D351&lt;=35),"31–35",
AND(D351&gt;=36,D351&lt;=40),"36–40",
AND(D351&gt;=41,D351&lt;=45),"41–45",
AND(D351&gt;=46,D351&lt;=50),"46–50",
AND(D351&gt;=51,D351&lt;=60),"51–60")</f>
        <v>51–60</v>
      </c>
    </row>
    <row r="352" spans="1:14" x14ac:dyDescent="0.35">
      <c r="A352" t="s">
        <v>721</v>
      </c>
      <c r="B352" t="s">
        <v>722</v>
      </c>
      <c r="C352" t="s">
        <v>21</v>
      </c>
      <c r="D352">
        <v>47</v>
      </c>
      <c r="E352" t="s">
        <v>92</v>
      </c>
      <c r="F352" t="s">
        <v>59</v>
      </c>
      <c r="G352" t="s">
        <v>34</v>
      </c>
      <c r="H352" s="1">
        <v>44677</v>
      </c>
      <c r="J352">
        <v>708000</v>
      </c>
      <c r="K352">
        <v>0.09</v>
      </c>
      <c r="L352" t="s">
        <v>24</v>
      </c>
      <c r="M352">
        <f ca="1">IF(ISBLANK(Table1[[#This Row],[Exit]]),DATEDIF(Table1[[#This Row],[Hire]],TODAY(),"Y"),DATEDIF(Table1[[#This Row],[Hire]],Table1[[#This Row],[Exit]],"Y"))</f>
        <v>3</v>
      </c>
      <c r="N352" t="str" cm="1">
        <f t="array" ref="N352">_xlfn.IFS(
AND(D352&gt;=26,D352&lt;=30),"26–30",
AND(D352&gt;=31,D352&lt;=35),"31–35",
AND(D352&gt;=36,D352&lt;=40),"36–40",
AND(D352&gt;=41,D352&lt;=45),"41–45",
AND(D352&gt;=46,D352&lt;=50),"46–50",
AND(D352&gt;=51,D352&lt;=60),"51–60")</f>
        <v>46–50</v>
      </c>
    </row>
    <row r="353" spans="1:14" x14ac:dyDescent="0.35">
      <c r="A353" t="s">
        <v>723</v>
      </c>
      <c r="B353" t="s">
        <v>724</v>
      </c>
      <c r="C353" t="s">
        <v>21</v>
      </c>
      <c r="D353">
        <v>36</v>
      </c>
      <c r="E353" t="s">
        <v>31</v>
      </c>
      <c r="F353" t="s">
        <v>16</v>
      </c>
      <c r="G353" t="s">
        <v>17</v>
      </c>
      <c r="H353" s="1">
        <v>43889</v>
      </c>
      <c r="J353">
        <v>710000</v>
      </c>
      <c r="K353">
        <v>0</v>
      </c>
      <c r="L353" t="s">
        <v>24</v>
      </c>
      <c r="M353">
        <f ca="1">IF(ISBLANK(Table1[[#This Row],[Exit]]),DATEDIF(Table1[[#This Row],[Hire]],TODAY(),"Y"),DATEDIF(Table1[[#This Row],[Hire]],Table1[[#This Row],[Exit]],"Y"))</f>
        <v>5</v>
      </c>
      <c r="N353" t="str" cm="1">
        <f t="array" ref="N353">_xlfn.IFS(
AND(D353&gt;=26,D353&lt;=30),"26–30",
AND(D353&gt;=31,D353&lt;=35),"31–35",
AND(D353&gt;=36,D353&lt;=40),"36–40",
AND(D353&gt;=41,D353&lt;=45),"41–45",
AND(D353&gt;=46,D353&lt;=50),"46–50",
AND(D353&gt;=51,D353&lt;=60),"51–60")</f>
        <v>36–40</v>
      </c>
    </row>
    <row r="354" spans="1:14" x14ac:dyDescent="0.35">
      <c r="A354" t="s">
        <v>725</v>
      </c>
      <c r="B354" t="s">
        <v>726</v>
      </c>
      <c r="C354" t="s">
        <v>14</v>
      </c>
      <c r="D354">
        <v>41</v>
      </c>
      <c r="E354" t="s">
        <v>15</v>
      </c>
      <c r="F354" t="s">
        <v>16</v>
      </c>
      <c r="G354" t="s">
        <v>17</v>
      </c>
      <c r="H354" s="1">
        <v>44116</v>
      </c>
      <c r="J354">
        <v>712000</v>
      </c>
      <c r="K354">
        <v>0.13</v>
      </c>
      <c r="L354" t="s">
        <v>24</v>
      </c>
      <c r="M354">
        <f ca="1">IF(ISBLANK(Table1[[#This Row],[Exit]]),DATEDIF(Table1[[#This Row],[Hire]],TODAY(),"Y"),DATEDIF(Table1[[#This Row],[Hire]],Table1[[#This Row],[Exit]],"Y"))</f>
        <v>5</v>
      </c>
      <c r="N354" t="str" cm="1">
        <f t="array" ref="N354">_xlfn.IFS(
AND(D354&gt;=26,D354&lt;=30),"26–30",
AND(D354&gt;=31,D354&lt;=35),"31–35",
AND(D354&gt;=36,D354&lt;=40),"36–40",
AND(D354&gt;=41,D354&lt;=45),"41–45",
AND(D354&gt;=46,D354&lt;=50),"46–50",
AND(D354&gt;=51,D354&lt;=60),"51–60")</f>
        <v>41–45</v>
      </c>
    </row>
    <row r="355" spans="1:14" x14ac:dyDescent="0.35">
      <c r="A355" t="s">
        <v>727</v>
      </c>
      <c r="B355" t="s">
        <v>728</v>
      </c>
      <c r="C355" t="s">
        <v>14</v>
      </c>
      <c r="D355">
        <v>30</v>
      </c>
      <c r="E355" t="s">
        <v>22</v>
      </c>
      <c r="F355" t="s">
        <v>16</v>
      </c>
      <c r="G355" t="s">
        <v>23</v>
      </c>
      <c r="H355" s="1">
        <v>44588</v>
      </c>
      <c r="J355">
        <v>714000</v>
      </c>
      <c r="K355">
        <v>0</v>
      </c>
      <c r="L355" t="s">
        <v>24</v>
      </c>
      <c r="M355">
        <f ca="1">IF(ISBLANK(Table1[[#This Row],[Exit]]),DATEDIF(Table1[[#This Row],[Hire]],TODAY(),"Y"),DATEDIF(Table1[[#This Row],[Hire]],Table1[[#This Row],[Exit]],"Y"))</f>
        <v>4</v>
      </c>
      <c r="N355" t="str" cm="1">
        <f t="array" ref="N355">_xlfn.IFS(
AND(D355&gt;=26,D355&lt;=30),"26–30",
AND(D355&gt;=31,D355&lt;=35),"31–35",
AND(D355&gt;=36,D355&lt;=40),"36–40",
AND(D355&gt;=41,D355&lt;=45),"41–45",
AND(D355&gt;=46,D355&lt;=50),"46–50",
AND(D355&gt;=51,D355&lt;=60),"51–60")</f>
        <v>26–30</v>
      </c>
    </row>
    <row r="356" spans="1:14" x14ac:dyDescent="0.35">
      <c r="A356" t="s">
        <v>729</v>
      </c>
      <c r="B356" t="s">
        <v>730</v>
      </c>
      <c r="C356" t="s">
        <v>14</v>
      </c>
      <c r="D356">
        <v>30</v>
      </c>
      <c r="E356" t="s">
        <v>27</v>
      </c>
      <c r="F356" t="s">
        <v>28</v>
      </c>
      <c r="G356" t="s">
        <v>17</v>
      </c>
      <c r="H356" s="1">
        <v>45337</v>
      </c>
      <c r="J356">
        <v>716000</v>
      </c>
      <c r="K356">
        <v>0</v>
      </c>
      <c r="L356" t="s">
        <v>24</v>
      </c>
      <c r="M356">
        <f ca="1">IF(ISBLANK(Table1[[#This Row],[Exit]]),DATEDIF(Table1[[#This Row],[Hire]],TODAY(),"Y"),DATEDIF(Table1[[#This Row],[Hire]],Table1[[#This Row],[Exit]],"Y"))</f>
        <v>1</v>
      </c>
      <c r="N356" t="str" cm="1">
        <f t="array" ref="N356">_xlfn.IFS(
AND(D356&gt;=26,D356&lt;=30),"26–30",
AND(D356&gt;=31,D356&lt;=35),"31–35",
AND(D356&gt;=36,D356&lt;=40),"36–40",
AND(D356&gt;=41,D356&lt;=45),"41–45",
AND(D356&gt;=46,D356&lt;=50),"46–50",
AND(D356&gt;=51,D356&lt;=60),"51–60")</f>
        <v>26–30</v>
      </c>
    </row>
    <row r="357" spans="1:14" x14ac:dyDescent="0.35">
      <c r="A357" t="s">
        <v>731</v>
      </c>
      <c r="B357" t="s">
        <v>732</v>
      </c>
      <c r="C357" t="s">
        <v>14</v>
      </c>
      <c r="D357">
        <v>38</v>
      </c>
      <c r="E357" t="s">
        <v>31</v>
      </c>
      <c r="F357" t="s">
        <v>16</v>
      </c>
      <c r="G357" t="s">
        <v>23</v>
      </c>
      <c r="H357" s="1">
        <v>45332</v>
      </c>
      <c r="J357">
        <v>718000</v>
      </c>
      <c r="K357">
        <v>0.19</v>
      </c>
      <c r="L357" t="s">
        <v>24</v>
      </c>
      <c r="M357">
        <f ca="1">IF(ISBLANK(Table1[[#This Row],[Exit]]),DATEDIF(Table1[[#This Row],[Hire]],TODAY(),"Y"),DATEDIF(Table1[[#This Row],[Hire]],Table1[[#This Row],[Exit]],"Y"))</f>
        <v>1</v>
      </c>
      <c r="N357" t="str" cm="1">
        <f t="array" ref="N357">_xlfn.IFS(
AND(D357&gt;=26,D357&lt;=30),"26–30",
AND(D357&gt;=31,D357&lt;=35),"31–35",
AND(D357&gt;=36,D357&lt;=40),"36–40",
AND(D357&gt;=41,D357&lt;=45),"41–45",
AND(D357&gt;=46,D357&lt;=50),"46–50",
AND(D357&gt;=51,D357&lt;=60),"51–60")</f>
        <v>36–40</v>
      </c>
    </row>
    <row r="358" spans="1:14" x14ac:dyDescent="0.35">
      <c r="A358" t="s">
        <v>733</v>
      </c>
      <c r="B358" t="s">
        <v>734</v>
      </c>
      <c r="C358" t="s">
        <v>14</v>
      </c>
      <c r="D358">
        <v>28</v>
      </c>
      <c r="E358" t="s">
        <v>27</v>
      </c>
      <c r="F358" t="s">
        <v>28</v>
      </c>
      <c r="G358" t="s">
        <v>34</v>
      </c>
      <c r="H358" s="1">
        <v>44183</v>
      </c>
      <c r="J358">
        <v>720000</v>
      </c>
      <c r="K358">
        <v>7.0000000000000007E-2</v>
      </c>
      <c r="L358" t="s">
        <v>24</v>
      </c>
      <c r="M358">
        <f ca="1">IF(ISBLANK(Table1[[#This Row],[Exit]]),DATEDIF(Table1[[#This Row],[Hire]],TODAY(),"Y"),DATEDIF(Table1[[#This Row],[Hire]],Table1[[#This Row],[Exit]],"Y"))</f>
        <v>5</v>
      </c>
      <c r="N358" t="str" cm="1">
        <f t="array" ref="N358">_xlfn.IFS(
AND(D358&gt;=26,D358&lt;=30),"26–30",
AND(D358&gt;=31,D358&lt;=35),"31–35",
AND(D358&gt;=36,D358&lt;=40),"36–40",
AND(D358&gt;=41,D358&lt;=45),"41–45",
AND(D358&gt;=46,D358&lt;=50),"46–50",
AND(D358&gt;=51,D358&lt;=60),"51–60")</f>
        <v>26–30</v>
      </c>
    </row>
    <row r="359" spans="1:14" x14ac:dyDescent="0.35">
      <c r="A359" t="s">
        <v>735</v>
      </c>
      <c r="B359" t="s">
        <v>736</v>
      </c>
      <c r="C359" t="s">
        <v>355</v>
      </c>
      <c r="D359">
        <v>39</v>
      </c>
      <c r="E359" t="s">
        <v>15</v>
      </c>
      <c r="F359" t="s">
        <v>16</v>
      </c>
      <c r="G359" t="s">
        <v>23</v>
      </c>
      <c r="H359" s="1">
        <v>43837</v>
      </c>
      <c r="J359">
        <v>722000</v>
      </c>
      <c r="K359">
        <v>7.0000000000000007E-2</v>
      </c>
      <c r="L359" t="s">
        <v>24</v>
      </c>
      <c r="M359">
        <f ca="1">IF(ISBLANK(Table1[[#This Row],[Exit]]),DATEDIF(Table1[[#This Row],[Hire]],TODAY(),"Y"),DATEDIF(Table1[[#This Row],[Hire]],Table1[[#This Row],[Exit]],"Y"))</f>
        <v>6</v>
      </c>
      <c r="N359" t="str" cm="1">
        <f t="array" ref="N359">_xlfn.IFS(
AND(D359&gt;=26,D359&lt;=30),"26–30",
AND(D359&gt;=31,D359&lt;=35),"31–35",
AND(D359&gt;=36,D359&lt;=40),"36–40",
AND(D359&gt;=41,D359&lt;=45),"41–45",
AND(D359&gt;=46,D359&lt;=50),"46–50",
AND(D359&gt;=51,D359&lt;=60),"51–60")</f>
        <v>36–40</v>
      </c>
    </row>
    <row r="360" spans="1:14" x14ac:dyDescent="0.35">
      <c r="A360" t="s">
        <v>737</v>
      </c>
      <c r="B360" t="s">
        <v>738</v>
      </c>
      <c r="C360" t="s">
        <v>14</v>
      </c>
      <c r="D360">
        <v>31</v>
      </c>
      <c r="E360" t="s">
        <v>15</v>
      </c>
      <c r="F360" t="s">
        <v>16</v>
      </c>
      <c r="G360" t="s">
        <v>34</v>
      </c>
      <c r="H360" s="1">
        <v>45206</v>
      </c>
      <c r="J360">
        <v>724000</v>
      </c>
      <c r="K360">
        <v>0.1</v>
      </c>
      <c r="L360" t="s">
        <v>24</v>
      </c>
      <c r="M360">
        <f ca="1">IF(ISBLANK(Table1[[#This Row],[Exit]]),DATEDIF(Table1[[#This Row],[Hire]],TODAY(),"Y"),DATEDIF(Table1[[#This Row],[Hire]],Table1[[#This Row],[Exit]],"Y"))</f>
        <v>2</v>
      </c>
      <c r="N360" t="str" cm="1">
        <f t="array" ref="N360">_xlfn.IFS(
AND(D360&gt;=26,D360&lt;=30),"26–30",
AND(D360&gt;=31,D360&lt;=35),"31–35",
AND(D360&gt;=36,D360&lt;=40),"36–40",
AND(D360&gt;=41,D360&lt;=45),"41–45",
AND(D360&gt;=46,D360&lt;=50),"46–50",
AND(D360&gt;=51,D360&lt;=60),"51–60")</f>
        <v>31–35</v>
      </c>
    </row>
    <row r="361" spans="1:14" x14ac:dyDescent="0.35">
      <c r="A361" t="s">
        <v>739</v>
      </c>
      <c r="B361" t="s">
        <v>740</v>
      </c>
      <c r="C361" t="s">
        <v>21</v>
      </c>
      <c r="D361">
        <v>45</v>
      </c>
      <c r="E361" t="s">
        <v>42</v>
      </c>
      <c r="F361" t="s">
        <v>43</v>
      </c>
      <c r="G361" t="s">
        <v>34</v>
      </c>
      <c r="H361" s="1">
        <v>44487</v>
      </c>
      <c r="J361">
        <v>726000</v>
      </c>
      <c r="K361">
        <v>0.1</v>
      </c>
      <c r="L361" t="s">
        <v>24</v>
      </c>
      <c r="M361">
        <f ca="1">IF(ISBLANK(Table1[[#This Row],[Exit]]),DATEDIF(Table1[[#This Row],[Hire]],TODAY(),"Y"),DATEDIF(Table1[[#This Row],[Hire]],Table1[[#This Row],[Exit]],"Y"))</f>
        <v>4</v>
      </c>
      <c r="N361" t="str" cm="1">
        <f t="array" ref="N361">_xlfn.IFS(
AND(D361&gt;=26,D361&lt;=30),"26–30",
AND(D361&gt;=31,D361&lt;=35),"31–35",
AND(D361&gt;=36,D361&lt;=40),"36–40",
AND(D361&gt;=41,D361&lt;=45),"41–45",
AND(D361&gt;=46,D361&lt;=50),"46–50",
AND(D361&gt;=51,D361&lt;=60),"51–60")</f>
        <v>41–45</v>
      </c>
    </row>
    <row r="362" spans="1:14" x14ac:dyDescent="0.35">
      <c r="A362" t="s">
        <v>741</v>
      </c>
      <c r="B362" t="s">
        <v>742</v>
      </c>
      <c r="C362" t="s">
        <v>14</v>
      </c>
      <c r="D362">
        <v>50</v>
      </c>
      <c r="E362" t="s">
        <v>42</v>
      </c>
      <c r="F362" t="s">
        <v>46</v>
      </c>
      <c r="G362" t="s">
        <v>23</v>
      </c>
      <c r="H362" s="1">
        <v>44791</v>
      </c>
      <c r="J362">
        <v>728000</v>
      </c>
      <c r="K362">
        <v>0</v>
      </c>
      <c r="L362" t="s">
        <v>24</v>
      </c>
      <c r="M362">
        <f ca="1">IF(ISBLANK(Table1[[#This Row],[Exit]]),DATEDIF(Table1[[#This Row],[Hire]],TODAY(),"Y"),DATEDIF(Table1[[#This Row],[Hire]],Table1[[#This Row],[Exit]],"Y"))</f>
        <v>3</v>
      </c>
      <c r="N362" t="str" cm="1">
        <f t="array" ref="N362">_xlfn.IFS(
AND(D362&gt;=26,D362&lt;=30),"26–30",
AND(D362&gt;=31,D362&lt;=35),"31–35",
AND(D362&gt;=36,D362&lt;=40),"36–40",
AND(D362&gt;=41,D362&lt;=45),"41–45",
AND(D362&gt;=46,D362&lt;=50),"46–50",
AND(D362&gt;=51,D362&lt;=60),"51–60")</f>
        <v>46–50</v>
      </c>
    </row>
    <row r="363" spans="1:14" x14ac:dyDescent="0.35">
      <c r="A363" t="s">
        <v>743</v>
      </c>
      <c r="B363" t="s">
        <v>744</v>
      </c>
      <c r="C363" t="s">
        <v>21</v>
      </c>
      <c r="D363">
        <v>36</v>
      </c>
      <c r="E363" t="s">
        <v>42</v>
      </c>
      <c r="F363" t="s">
        <v>49</v>
      </c>
      <c r="G363" t="s">
        <v>17</v>
      </c>
      <c r="H363" s="1">
        <v>45440</v>
      </c>
      <c r="J363">
        <v>730000</v>
      </c>
      <c r="K363">
        <v>0</v>
      </c>
      <c r="L363" t="s">
        <v>24</v>
      </c>
      <c r="M363">
        <f ca="1">IF(ISBLANK(Table1[[#This Row],[Exit]]),DATEDIF(Table1[[#This Row],[Hire]],TODAY(),"Y"),DATEDIF(Table1[[#This Row],[Hire]],Table1[[#This Row],[Exit]],"Y"))</f>
        <v>1</v>
      </c>
      <c r="N363" t="str" cm="1">
        <f t="array" ref="N363">_xlfn.IFS(
AND(D363&gt;=26,D363&lt;=30),"26–30",
AND(D363&gt;=31,D363&lt;=35),"31–35",
AND(D363&gt;=36,D363&lt;=40),"36–40",
AND(D363&gt;=41,D363&lt;=45),"41–45",
AND(D363&gt;=46,D363&lt;=50),"46–50",
AND(D363&gt;=51,D363&lt;=60),"51–60")</f>
        <v>36–40</v>
      </c>
    </row>
    <row r="364" spans="1:14" x14ac:dyDescent="0.35">
      <c r="A364" t="s">
        <v>745</v>
      </c>
      <c r="B364" t="s">
        <v>746</v>
      </c>
      <c r="C364" t="s">
        <v>14</v>
      </c>
      <c r="D364">
        <v>45</v>
      </c>
      <c r="E364" t="s">
        <v>52</v>
      </c>
      <c r="F364" t="s">
        <v>16</v>
      </c>
      <c r="G364" t="s">
        <v>53</v>
      </c>
      <c r="H364" s="1">
        <v>44811</v>
      </c>
      <c r="J364">
        <v>732000</v>
      </c>
      <c r="K364">
        <v>0.25</v>
      </c>
      <c r="L364" t="s">
        <v>24</v>
      </c>
      <c r="M364">
        <f ca="1">IF(ISBLANK(Table1[[#This Row],[Exit]]),DATEDIF(Table1[[#This Row],[Hire]],TODAY(),"Y"),DATEDIF(Table1[[#This Row],[Hire]],Table1[[#This Row],[Exit]],"Y"))</f>
        <v>3</v>
      </c>
      <c r="N364" t="str" cm="1">
        <f t="array" ref="N364">_xlfn.IFS(
AND(D364&gt;=26,D364&lt;=30),"26–30",
AND(D364&gt;=31,D364&lt;=35),"31–35",
AND(D364&gt;=36,D364&lt;=40),"36–40",
AND(D364&gt;=41,D364&lt;=45),"41–45",
AND(D364&gt;=46,D364&lt;=50),"46–50",
AND(D364&gt;=51,D364&lt;=60),"51–60")</f>
        <v>41–45</v>
      </c>
    </row>
    <row r="365" spans="1:14" x14ac:dyDescent="0.35">
      <c r="A365" t="s">
        <v>548</v>
      </c>
      <c r="B365" t="s">
        <v>747</v>
      </c>
      <c r="C365" t="s">
        <v>14</v>
      </c>
      <c r="D365">
        <v>29</v>
      </c>
      <c r="E365" t="s">
        <v>42</v>
      </c>
      <c r="F365" t="s">
        <v>46</v>
      </c>
      <c r="G365" t="s">
        <v>53</v>
      </c>
      <c r="H365" s="1">
        <v>45294</v>
      </c>
      <c r="J365">
        <v>734000</v>
      </c>
      <c r="K365">
        <v>0.13</v>
      </c>
      <c r="L365" t="s">
        <v>24</v>
      </c>
      <c r="M365">
        <f ca="1">IF(ISBLANK(Table1[[#This Row],[Exit]]),DATEDIF(Table1[[#This Row],[Hire]],TODAY(),"Y"),DATEDIF(Table1[[#This Row],[Hire]],Table1[[#This Row],[Exit]],"Y"))</f>
        <v>2</v>
      </c>
      <c r="N365" t="str" cm="1">
        <f t="array" ref="N365">_xlfn.IFS(
AND(D365&gt;=26,D365&lt;=30),"26–30",
AND(D365&gt;=31,D365&lt;=35),"31–35",
AND(D365&gt;=36,D365&lt;=40),"36–40",
AND(D365&gt;=41,D365&lt;=45),"41–45",
AND(D365&gt;=46,D365&lt;=50),"46–50",
AND(D365&gt;=51,D365&lt;=60),"51–60")</f>
        <v>26–30</v>
      </c>
    </row>
    <row r="366" spans="1:14" x14ac:dyDescent="0.35">
      <c r="A366" t="s">
        <v>748</v>
      </c>
      <c r="B366" t="s">
        <v>749</v>
      </c>
      <c r="C366" t="s">
        <v>21</v>
      </c>
      <c r="D366">
        <v>41</v>
      </c>
      <c r="E366" t="s">
        <v>58</v>
      </c>
      <c r="F366" t="s">
        <v>59</v>
      </c>
      <c r="G366" t="s">
        <v>34</v>
      </c>
      <c r="H366" s="1">
        <v>45074</v>
      </c>
      <c r="J366">
        <v>736000</v>
      </c>
      <c r="K366">
        <v>0</v>
      </c>
      <c r="L366" t="s">
        <v>24</v>
      </c>
      <c r="M366">
        <f ca="1">IF(ISBLANK(Table1[[#This Row],[Exit]]),DATEDIF(Table1[[#This Row],[Hire]],TODAY(),"Y"),DATEDIF(Table1[[#This Row],[Hire]],Table1[[#This Row],[Exit]],"Y"))</f>
        <v>2</v>
      </c>
      <c r="N366" t="str" cm="1">
        <f t="array" ref="N366">_xlfn.IFS(
AND(D366&gt;=26,D366&lt;=30),"26–30",
AND(D366&gt;=31,D366&lt;=35),"31–35",
AND(D366&gt;=36,D366&lt;=40),"36–40",
AND(D366&gt;=41,D366&lt;=45),"41–45",
AND(D366&gt;=46,D366&lt;=50),"46–50",
AND(D366&gt;=51,D366&lt;=60),"51–60")</f>
        <v>41–45</v>
      </c>
    </row>
    <row r="367" spans="1:14" x14ac:dyDescent="0.35">
      <c r="A367" t="s">
        <v>750</v>
      </c>
      <c r="B367" t="s">
        <v>751</v>
      </c>
      <c r="C367" t="s">
        <v>41</v>
      </c>
      <c r="D367">
        <v>47</v>
      </c>
      <c r="E367" t="s">
        <v>52</v>
      </c>
      <c r="F367" t="s">
        <v>16</v>
      </c>
      <c r="G367" t="s">
        <v>23</v>
      </c>
      <c r="H367" s="1">
        <v>45245</v>
      </c>
      <c r="J367">
        <v>738000</v>
      </c>
      <c r="K367">
        <v>0.12</v>
      </c>
      <c r="L367" t="s">
        <v>24</v>
      </c>
      <c r="M367">
        <f ca="1">IF(ISBLANK(Table1[[#This Row],[Exit]]),DATEDIF(Table1[[#This Row],[Hire]],TODAY(),"Y"),DATEDIF(Table1[[#This Row],[Hire]],Table1[[#This Row],[Exit]],"Y"))</f>
        <v>2</v>
      </c>
      <c r="N367" t="str" cm="1">
        <f t="array" ref="N367">_xlfn.IFS(
AND(D367&gt;=26,D367&lt;=30),"26–30",
AND(D367&gt;=31,D367&lt;=35),"31–35",
AND(D367&gt;=36,D367&lt;=40),"36–40",
AND(D367&gt;=41,D367&lt;=45),"41–45",
AND(D367&gt;=46,D367&lt;=50),"46–50",
AND(D367&gt;=51,D367&lt;=60),"51–60")</f>
        <v>46–50</v>
      </c>
    </row>
    <row r="368" spans="1:14" x14ac:dyDescent="0.35">
      <c r="A368" t="s">
        <v>752</v>
      </c>
      <c r="B368" t="s">
        <v>753</v>
      </c>
      <c r="C368" t="s">
        <v>14</v>
      </c>
      <c r="D368">
        <v>38</v>
      </c>
      <c r="E368" t="s">
        <v>52</v>
      </c>
      <c r="F368" t="s">
        <v>16</v>
      </c>
      <c r="G368" t="s">
        <v>34</v>
      </c>
      <c r="H368" s="1">
        <v>43851</v>
      </c>
      <c r="J368">
        <v>740000</v>
      </c>
      <c r="K368">
        <v>0</v>
      </c>
      <c r="L368" t="s">
        <v>24</v>
      </c>
      <c r="M368">
        <f ca="1">IF(ISBLANK(Table1[[#This Row],[Exit]]),DATEDIF(Table1[[#This Row],[Hire]],TODAY(),"Y"),DATEDIF(Table1[[#This Row],[Hire]],Table1[[#This Row],[Exit]],"Y"))</f>
        <v>6</v>
      </c>
      <c r="N368" t="str" cm="1">
        <f t="array" ref="N368">_xlfn.IFS(
AND(D368&gt;=26,D368&lt;=30),"26–30",
AND(D368&gt;=31,D368&lt;=35),"31–35",
AND(D368&gt;=36,D368&lt;=40),"36–40",
AND(D368&gt;=41,D368&lt;=45),"41–45",
AND(D368&gt;=46,D368&lt;=50),"46–50",
AND(D368&gt;=51,D368&lt;=60),"51–60")</f>
        <v>36–40</v>
      </c>
    </row>
    <row r="369" spans="1:14" x14ac:dyDescent="0.35">
      <c r="A369" t="s">
        <v>754</v>
      </c>
      <c r="B369" t="s">
        <v>755</v>
      </c>
      <c r="C369" t="s">
        <v>41</v>
      </c>
      <c r="D369">
        <v>40</v>
      </c>
      <c r="E369" t="s">
        <v>66</v>
      </c>
      <c r="F369" t="s">
        <v>16</v>
      </c>
      <c r="G369" t="s">
        <v>17</v>
      </c>
      <c r="H369" s="1">
        <v>45206</v>
      </c>
      <c r="J369">
        <v>742000</v>
      </c>
      <c r="K369">
        <v>0</v>
      </c>
      <c r="L369" t="s">
        <v>24</v>
      </c>
      <c r="M369">
        <f ca="1">IF(ISBLANK(Table1[[#This Row],[Exit]]),DATEDIF(Table1[[#This Row],[Hire]],TODAY(),"Y"),DATEDIF(Table1[[#This Row],[Hire]],Table1[[#This Row],[Exit]],"Y"))</f>
        <v>2</v>
      </c>
      <c r="N369" t="str" cm="1">
        <f t="array" ref="N369">_xlfn.IFS(
AND(D369&gt;=26,D369&lt;=30),"26–30",
AND(D369&gt;=31,D369&lt;=35),"31–35",
AND(D369&gt;=36,D369&lt;=40),"36–40",
AND(D369&gt;=41,D369&lt;=45),"41–45",
AND(D369&gt;=46,D369&lt;=50),"46–50",
AND(D369&gt;=51,D369&lt;=60),"51–60")</f>
        <v>36–40</v>
      </c>
    </row>
    <row r="370" spans="1:14" x14ac:dyDescent="0.35">
      <c r="A370" t="s">
        <v>756</v>
      </c>
      <c r="B370" t="s">
        <v>757</v>
      </c>
      <c r="C370" t="s">
        <v>14</v>
      </c>
      <c r="D370">
        <v>45</v>
      </c>
      <c r="E370" t="s">
        <v>58</v>
      </c>
      <c r="F370" t="s">
        <v>59</v>
      </c>
      <c r="G370" t="s">
        <v>23</v>
      </c>
      <c r="H370" s="1">
        <v>45401</v>
      </c>
      <c r="J370">
        <v>744000</v>
      </c>
      <c r="K370">
        <v>0.34</v>
      </c>
      <c r="L370" t="s">
        <v>24</v>
      </c>
      <c r="M370">
        <f ca="1">IF(ISBLANK(Table1[[#This Row],[Exit]]),DATEDIF(Table1[[#This Row],[Hire]],TODAY(),"Y"),DATEDIF(Table1[[#This Row],[Hire]],Table1[[#This Row],[Exit]],"Y"))</f>
        <v>1</v>
      </c>
      <c r="N370" t="str" cm="1">
        <f t="array" ref="N370">_xlfn.IFS(
AND(D370&gt;=26,D370&lt;=30),"26–30",
AND(D370&gt;=31,D370&lt;=35),"31–35",
AND(D370&gt;=36,D370&lt;=40),"36–40",
AND(D370&gt;=41,D370&lt;=45),"41–45",
AND(D370&gt;=46,D370&lt;=50),"46–50",
AND(D370&gt;=51,D370&lt;=60),"51–60")</f>
        <v>41–45</v>
      </c>
    </row>
    <row r="371" spans="1:14" x14ac:dyDescent="0.35">
      <c r="A371" t="s">
        <v>758</v>
      </c>
      <c r="B371" t="s">
        <v>759</v>
      </c>
      <c r="C371" t="s">
        <v>14</v>
      </c>
      <c r="D371">
        <v>26</v>
      </c>
      <c r="E371" t="s">
        <v>66</v>
      </c>
      <c r="F371" t="s">
        <v>16</v>
      </c>
      <c r="G371" t="s">
        <v>34</v>
      </c>
      <c r="H371" s="1">
        <v>44083</v>
      </c>
      <c r="J371">
        <v>746000</v>
      </c>
      <c r="K371">
        <v>0.21</v>
      </c>
      <c r="L371" t="s">
        <v>24</v>
      </c>
      <c r="M371">
        <f ca="1">IF(ISBLANK(Table1[[#This Row],[Exit]]),DATEDIF(Table1[[#This Row],[Hire]],TODAY(),"Y"),DATEDIF(Table1[[#This Row],[Hire]],Table1[[#This Row],[Exit]],"Y"))</f>
        <v>5</v>
      </c>
      <c r="N371" t="str" cm="1">
        <f t="array" ref="N371">_xlfn.IFS(
AND(D371&gt;=26,D371&lt;=30),"26–30",
AND(D371&gt;=31,D371&lt;=35),"31–35",
AND(D371&gt;=36,D371&lt;=40),"36–40",
AND(D371&gt;=41,D371&lt;=45),"41–45",
AND(D371&gt;=46,D371&lt;=50),"46–50",
AND(D371&gt;=51,D371&lt;=60),"51–60")</f>
        <v>26–30</v>
      </c>
    </row>
    <row r="372" spans="1:14" x14ac:dyDescent="0.35">
      <c r="A372" t="s">
        <v>760</v>
      </c>
      <c r="B372" t="s">
        <v>761</v>
      </c>
      <c r="C372" t="s">
        <v>21</v>
      </c>
      <c r="D372">
        <v>35</v>
      </c>
      <c r="E372" t="s">
        <v>66</v>
      </c>
      <c r="F372" t="s">
        <v>16</v>
      </c>
      <c r="G372" t="s">
        <v>53</v>
      </c>
      <c r="H372" s="1">
        <v>45233</v>
      </c>
      <c r="J372">
        <v>748000</v>
      </c>
      <c r="K372">
        <v>0</v>
      </c>
      <c r="L372" t="s">
        <v>24</v>
      </c>
      <c r="M372">
        <f ca="1">IF(ISBLANK(Table1[[#This Row],[Exit]]),DATEDIF(Table1[[#This Row],[Hire]],TODAY(),"Y"),DATEDIF(Table1[[#This Row],[Hire]],Table1[[#This Row],[Exit]],"Y"))</f>
        <v>2</v>
      </c>
      <c r="N372" t="str" cm="1">
        <f t="array" ref="N372">_xlfn.IFS(
AND(D372&gt;=26,D372&lt;=30),"26–30",
AND(D372&gt;=31,D372&lt;=35),"31–35",
AND(D372&gt;=36,D372&lt;=40),"36–40",
AND(D372&gt;=41,D372&lt;=45),"41–45",
AND(D372&gt;=46,D372&lt;=50),"46–50",
AND(D372&gt;=51,D372&lt;=60),"51–60")</f>
        <v>31–35</v>
      </c>
    </row>
    <row r="373" spans="1:14" x14ac:dyDescent="0.35">
      <c r="A373" t="s">
        <v>311</v>
      </c>
      <c r="B373" t="s">
        <v>762</v>
      </c>
      <c r="C373" t="s">
        <v>14</v>
      </c>
      <c r="D373">
        <v>29</v>
      </c>
      <c r="E373" t="s">
        <v>58</v>
      </c>
      <c r="F373" t="s">
        <v>59</v>
      </c>
      <c r="G373" t="s">
        <v>53</v>
      </c>
      <c r="H373" s="1">
        <v>45412</v>
      </c>
      <c r="J373">
        <v>750000</v>
      </c>
      <c r="K373">
        <v>0.11</v>
      </c>
      <c r="L373" t="s">
        <v>24</v>
      </c>
      <c r="M373">
        <f ca="1">IF(ISBLANK(Table1[[#This Row],[Exit]]),DATEDIF(Table1[[#This Row],[Hire]],TODAY(),"Y"),DATEDIF(Table1[[#This Row],[Hire]],Table1[[#This Row],[Exit]],"Y"))</f>
        <v>1</v>
      </c>
      <c r="N373" t="str" cm="1">
        <f t="array" ref="N373">_xlfn.IFS(
AND(D373&gt;=26,D373&lt;=30),"26–30",
AND(D373&gt;=31,D373&lt;=35),"31–35",
AND(D373&gt;=36,D373&lt;=40),"36–40",
AND(D373&gt;=41,D373&lt;=45),"41–45",
AND(D373&gt;=46,D373&lt;=50),"46–50",
AND(D373&gt;=51,D373&lt;=60),"51–60")</f>
        <v>26–30</v>
      </c>
    </row>
    <row r="374" spans="1:14" x14ac:dyDescent="0.35">
      <c r="A374" t="s">
        <v>763</v>
      </c>
      <c r="B374" t="s">
        <v>764</v>
      </c>
      <c r="C374" t="s">
        <v>21</v>
      </c>
      <c r="D374">
        <v>35</v>
      </c>
      <c r="E374" t="s">
        <v>15</v>
      </c>
      <c r="F374" t="s">
        <v>16</v>
      </c>
      <c r="G374" t="s">
        <v>53</v>
      </c>
      <c r="H374" s="1">
        <v>43887</v>
      </c>
      <c r="J374">
        <v>752000</v>
      </c>
      <c r="K374">
        <v>0</v>
      </c>
      <c r="L374" t="s">
        <v>24</v>
      </c>
      <c r="M374">
        <f ca="1">IF(ISBLANK(Table1[[#This Row],[Exit]]),DATEDIF(Table1[[#This Row],[Hire]],TODAY(),"Y"),DATEDIF(Table1[[#This Row],[Hire]],Table1[[#This Row],[Exit]],"Y"))</f>
        <v>5</v>
      </c>
      <c r="N374" t="str" cm="1">
        <f t="array" ref="N374">_xlfn.IFS(
AND(D374&gt;=26,D374&lt;=30),"26–30",
AND(D374&gt;=31,D374&lt;=35),"31–35",
AND(D374&gt;=36,D374&lt;=40),"36–40",
AND(D374&gt;=41,D374&lt;=45),"41–45",
AND(D374&gt;=46,D374&lt;=50),"46–50",
AND(D374&gt;=51,D374&lt;=60),"51–60")</f>
        <v>31–35</v>
      </c>
    </row>
    <row r="375" spans="1:14" x14ac:dyDescent="0.35">
      <c r="A375" t="s">
        <v>765</v>
      </c>
      <c r="B375" t="s">
        <v>766</v>
      </c>
      <c r="C375" t="s">
        <v>14</v>
      </c>
      <c r="D375">
        <v>27</v>
      </c>
      <c r="E375" t="s">
        <v>22</v>
      </c>
      <c r="F375" t="s">
        <v>16</v>
      </c>
      <c r="G375" t="s">
        <v>53</v>
      </c>
      <c r="H375" s="1">
        <v>44815</v>
      </c>
      <c r="I375" s="1">
        <v>45237</v>
      </c>
      <c r="J375">
        <v>754000</v>
      </c>
      <c r="K375">
        <v>0.13</v>
      </c>
      <c r="L375" t="s">
        <v>18</v>
      </c>
      <c r="M375">
        <f ca="1">IF(ISBLANK(Table1[[#This Row],[Exit]]),DATEDIF(Table1[[#This Row],[Hire]],TODAY(),"Y"),DATEDIF(Table1[[#This Row],[Hire]],Table1[[#This Row],[Exit]],"Y"))</f>
        <v>1</v>
      </c>
      <c r="N375" t="str" cm="1">
        <f t="array" ref="N375">_xlfn.IFS(
AND(D375&gt;=26,D375&lt;=30),"26–30",
AND(D375&gt;=31,D375&lt;=35),"31–35",
AND(D375&gt;=36,D375&lt;=40),"36–40",
AND(D375&gt;=41,D375&lt;=45),"41–45",
AND(D375&gt;=46,D375&lt;=50),"46–50",
AND(D375&gt;=51,D375&lt;=60),"51–60")</f>
        <v>26–30</v>
      </c>
    </row>
    <row r="376" spans="1:14" x14ac:dyDescent="0.35">
      <c r="A376" t="s">
        <v>767</v>
      </c>
      <c r="B376" t="s">
        <v>768</v>
      </c>
      <c r="C376" t="s">
        <v>14</v>
      </c>
      <c r="D376">
        <v>31</v>
      </c>
      <c r="E376" t="s">
        <v>81</v>
      </c>
      <c r="F376" t="s">
        <v>43</v>
      </c>
      <c r="G376" t="s">
        <v>53</v>
      </c>
      <c r="H376" s="1">
        <v>45430</v>
      </c>
      <c r="J376">
        <v>756000</v>
      </c>
      <c r="K376">
        <v>0.21</v>
      </c>
      <c r="L376" t="s">
        <v>24</v>
      </c>
      <c r="M376">
        <f ca="1">IF(ISBLANK(Table1[[#This Row],[Exit]]),DATEDIF(Table1[[#This Row],[Hire]],TODAY(),"Y"),DATEDIF(Table1[[#This Row],[Hire]],Table1[[#This Row],[Exit]],"Y"))</f>
        <v>1</v>
      </c>
      <c r="N376" t="str" cm="1">
        <f t="array" ref="N376">_xlfn.IFS(
AND(D376&gt;=26,D376&lt;=30),"26–30",
AND(D376&gt;=31,D376&lt;=35),"31–35",
AND(D376&gt;=36,D376&lt;=40),"36–40",
AND(D376&gt;=41,D376&lt;=45),"41–45",
AND(D376&gt;=46,D376&lt;=50),"46–50",
AND(D376&gt;=51,D376&lt;=60),"51–60")</f>
        <v>31–35</v>
      </c>
    </row>
    <row r="377" spans="1:14" x14ac:dyDescent="0.35">
      <c r="A377" t="s">
        <v>769</v>
      </c>
      <c r="B377" t="s">
        <v>770</v>
      </c>
      <c r="C377" t="s">
        <v>14</v>
      </c>
      <c r="D377">
        <v>31</v>
      </c>
      <c r="E377" t="s">
        <v>52</v>
      </c>
      <c r="F377" t="s">
        <v>16</v>
      </c>
      <c r="G377" t="s">
        <v>17</v>
      </c>
      <c r="H377" s="1">
        <v>44509</v>
      </c>
      <c r="J377">
        <v>758000</v>
      </c>
      <c r="K377">
        <v>0</v>
      </c>
      <c r="L377" t="s">
        <v>24</v>
      </c>
      <c r="M377">
        <f ca="1">IF(ISBLANK(Table1[[#This Row],[Exit]]),DATEDIF(Table1[[#This Row],[Hire]],TODAY(),"Y"),DATEDIF(Table1[[#This Row],[Hire]],Table1[[#This Row],[Exit]],"Y"))</f>
        <v>4</v>
      </c>
      <c r="N377" t="str" cm="1">
        <f t="array" ref="N377">_xlfn.IFS(
AND(D377&gt;=26,D377&lt;=30),"26–30",
AND(D377&gt;=31,D377&lt;=35),"31–35",
AND(D377&gt;=36,D377&lt;=40),"36–40",
AND(D377&gt;=41,D377&lt;=45),"41–45",
AND(D377&gt;=46,D377&lt;=50),"46–50",
AND(D377&gt;=51,D377&lt;=60),"51–60")</f>
        <v>31–35</v>
      </c>
    </row>
    <row r="378" spans="1:14" x14ac:dyDescent="0.35">
      <c r="A378" t="s">
        <v>771</v>
      </c>
      <c r="B378" t="s">
        <v>772</v>
      </c>
      <c r="C378" t="s">
        <v>14</v>
      </c>
      <c r="D378">
        <v>31</v>
      </c>
      <c r="E378" t="s">
        <v>66</v>
      </c>
      <c r="F378" t="s">
        <v>16</v>
      </c>
      <c r="G378" t="s">
        <v>23</v>
      </c>
      <c r="H378" s="1">
        <v>43963</v>
      </c>
      <c r="J378">
        <v>760000</v>
      </c>
      <c r="K378">
        <v>0</v>
      </c>
      <c r="L378" t="s">
        <v>24</v>
      </c>
      <c r="M378">
        <f ca="1">IF(ISBLANK(Table1[[#This Row],[Exit]]),DATEDIF(Table1[[#This Row],[Hire]],TODAY(),"Y"),DATEDIF(Table1[[#This Row],[Hire]],Table1[[#This Row],[Exit]],"Y"))</f>
        <v>5</v>
      </c>
      <c r="N378" t="str" cm="1">
        <f t="array" ref="N378">_xlfn.IFS(
AND(D378&gt;=26,D378&lt;=30),"26–30",
AND(D378&gt;=31,D378&lt;=35),"31–35",
AND(D378&gt;=36,D378&lt;=40),"36–40",
AND(D378&gt;=41,D378&lt;=45),"41–45",
AND(D378&gt;=46,D378&lt;=50),"46–50",
AND(D378&gt;=51,D378&lt;=60),"51–60")</f>
        <v>31–35</v>
      </c>
    </row>
    <row r="379" spans="1:14" x14ac:dyDescent="0.35">
      <c r="A379" t="s">
        <v>773</v>
      </c>
      <c r="B379" t="s">
        <v>774</v>
      </c>
      <c r="C379" t="s">
        <v>14</v>
      </c>
      <c r="D379">
        <v>36</v>
      </c>
      <c r="E379" t="s">
        <v>31</v>
      </c>
      <c r="F379" t="s">
        <v>16</v>
      </c>
      <c r="G379" t="s">
        <v>53</v>
      </c>
      <c r="H379" s="1">
        <v>44815</v>
      </c>
      <c r="J379">
        <v>762000</v>
      </c>
      <c r="K379">
        <v>0</v>
      </c>
      <c r="L379" t="s">
        <v>24</v>
      </c>
      <c r="M379">
        <f ca="1">IF(ISBLANK(Table1[[#This Row],[Exit]]),DATEDIF(Table1[[#This Row],[Hire]],TODAY(),"Y"),DATEDIF(Table1[[#This Row],[Hire]],Table1[[#This Row],[Exit]],"Y"))</f>
        <v>3</v>
      </c>
      <c r="N379" t="str" cm="1">
        <f t="array" ref="N379">_xlfn.IFS(
AND(D379&gt;=26,D379&lt;=30),"26–30",
AND(D379&gt;=31,D379&lt;=35),"31–35",
AND(D379&gt;=36,D379&lt;=40),"36–40",
AND(D379&gt;=41,D379&lt;=45),"41–45",
AND(D379&gt;=46,D379&lt;=50),"46–50",
AND(D379&gt;=51,D379&lt;=60),"51–60")</f>
        <v>36–40</v>
      </c>
    </row>
    <row r="380" spans="1:14" x14ac:dyDescent="0.35">
      <c r="A380" t="s">
        <v>775</v>
      </c>
      <c r="B380" t="s">
        <v>776</v>
      </c>
      <c r="C380" t="s">
        <v>21</v>
      </c>
      <c r="D380">
        <v>45</v>
      </c>
      <c r="E380" t="s">
        <v>81</v>
      </c>
      <c r="F380" t="s">
        <v>49</v>
      </c>
      <c r="G380" t="s">
        <v>34</v>
      </c>
      <c r="H380" s="1">
        <v>44857</v>
      </c>
      <c r="J380">
        <v>764000</v>
      </c>
      <c r="K380">
        <v>0</v>
      </c>
      <c r="L380" t="s">
        <v>24</v>
      </c>
      <c r="M380">
        <f ca="1">IF(ISBLANK(Table1[[#This Row],[Exit]]),DATEDIF(Table1[[#This Row],[Hire]],TODAY(),"Y"),DATEDIF(Table1[[#This Row],[Hire]],Table1[[#This Row],[Exit]],"Y"))</f>
        <v>3</v>
      </c>
      <c r="N380" t="str" cm="1">
        <f t="array" ref="N380">_xlfn.IFS(
AND(D380&gt;=26,D380&lt;=30),"26–30",
AND(D380&gt;=31,D380&lt;=35),"31–35",
AND(D380&gt;=36,D380&lt;=40),"36–40",
AND(D380&gt;=41,D380&lt;=45),"41–45",
AND(D380&gt;=46,D380&lt;=50),"46–50",
AND(D380&gt;=51,D380&lt;=60),"51–60")</f>
        <v>41–45</v>
      </c>
    </row>
    <row r="381" spans="1:14" x14ac:dyDescent="0.35">
      <c r="A381" t="s">
        <v>777</v>
      </c>
      <c r="B381" t="s">
        <v>778</v>
      </c>
      <c r="C381" t="s">
        <v>41</v>
      </c>
      <c r="D381">
        <v>37</v>
      </c>
      <c r="E381" t="s">
        <v>92</v>
      </c>
      <c r="F381" t="s">
        <v>59</v>
      </c>
      <c r="G381" t="s">
        <v>53</v>
      </c>
      <c r="H381" s="1">
        <v>45527</v>
      </c>
      <c r="J381">
        <v>766000</v>
      </c>
      <c r="K381">
        <v>0</v>
      </c>
      <c r="L381" t="s">
        <v>24</v>
      </c>
      <c r="M381">
        <f ca="1">IF(ISBLANK(Table1[[#This Row],[Exit]]),DATEDIF(Table1[[#This Row],[Hire]],TODAY(),"Y"),DATEDIF(Table1[[#This Row],[Hire]],Table1[[#This Row],[Exit]],"Y"))</f>
        <v>1</v>
      </c>
      <c r="N381" t="str" cm="1">
        <f t="array" ref="N381">_xlfn.IFS(
AND(D381&gt;=26,D381&lt;=30),"26–30",
AND(D381&gt;=31,D381&lt;=35),"31–35",
AND(D381&gt;=36,D381&lt;=40),"36–40",
AND(D381&gt;=41,D381&lt;=45),"41–45",
AND(D381&gt;=46,D381&lt;=50),"46–50",
AND(D381&gt;=51,D381&lt;=60),"51–60")</f>
        <v>36–40</v>
      </c>
    </row>
    <row r="382" spans="1:14" x14ac:dyDescent="0.35">
      <c r="A382" t="s">
        <v>779</v>
      </c>
      <c r="B382" t="s">
        <v>780</v>
      </c>
      <c r="C382" t="s">
        <v>14</v>
      </c>
      <c r="D382">
        <v>38</v>
      </c>
      <c r="E382" t="s">
        <v>81</v>
      </c>
      <c r="F382" t="s">
        <v>46</v>
      </c>
      <c r="G382" t="s">
        <v>23</v>
      </c>
      <c r="H382" s="1">
        <v>45237</v>
      </c>
      <c r="J382">
        <v>768000</v>
      </c>
      <c r="K382">
        <v>0</v>
      </c>
      <c r="L382" t="s">
        <v>24</v>
      </c>
      <c r="M382">
        <f ca="1">IF(ISBLANK(Table1[[#This Row],[Exit]]),DATEDIF(Table1[[#This Row],[Hire]],TODAY(),"Y"),DATEDIF(Table1[[#This Row],[Hire]],Table1[[#This Row],[Exit]],"Y"))</f>
        <v>2</v>
      </c>
      <c r="N382" t="str" cm="1">
        <f t="array" ref="N382">_xlfn.IFS(
AND(D382&gt;=26,D382&lt;=30),"26–30",
AND(D382&gt;=31,D382&lt;=35),"31–35",
AND(D382&gt;=36,D382&lt;=40),"36–40",
AND(D382&gt;=41,D382&lt;=45),"41–45",
AND(D382&gt;=46,D382&lt;=50),"46–50",
AND(D382&gt;=51,D382&lt;=60),"51–60")</f>
        <v>36–40</v>
      </c>
    </row>
    <row r="383" spans="1:14" x14ac:dyDescent="0.35">
      <c r="A383" t="s">
        <v>781</v>
      </c>
      <c r="B383" t="s">
        <v>782</v>
      </c>
      <c r="C383" t="s">
        <v>21</v>
      </c>
      <c r="D383">
        <v>45</v>
      </c>
      <c r="E383" t="s">
        <v>22</v>
      </c>
      <c r="F383" t="s">
        <v>16</v>
      </c>
      <c r="G383" t="s">
        <v>34</v>
      </c>
      <c r="H383" s="1">
        <v>45206</v>
      </c>
      <c r="J383">
        <v>770000</v>
      </c>
      <c r="K383">
        <v>0</v>
      </c>
      <c r="L383" t="s">
        <v>24</v>
      </c>
      <c r="M383">
        <f ca="1">IF(ISBLANK(Table1[[#This Row],[Exit]]),DATEDIF(Table1[[#This Row],[Hire]],TODAY(),"Y"),DATEDIF(Table1[[#This Row],[Hire]],Table1[[#This Row],[Exit]],"Y"))</f>
        <v>2</v>
      </c>
      <c r="N383" t="str" cm="1">
        <f t="array" ref="N383">_xlfn.IFS(
AND(D383&gt;=26,D383&lt;=30),"26–30",
AND(D383&gt;=31,D383&lt;=35),"31–35",
AND(D383&gt;=36,D383&lt;=40),"36–40",
AND(D383&gt;=41,D383&lt;=45),"41–45",
AND(D383&gt;=46,D383&lt;=50),"46–50",
AND(D383&gt;=51,D383&lt;=60),"51–60")</f>
        <v>41–45</v>
      </c>
    </row>
    <row r="384" spans="1:14" x14ac:dyDescent="0.35">
      <c r="A384" t="s">
        <v>783</v>
      </c>
      <c r="B384" t="s">
        <v>784</v>
      </c>
      <c r="C384" t="s">
        <v>14</v>
      </c>
      <c r="D384">
        <v>51</v>
      </c>
      <c r="E384" t="s">
        <v>92</v>
      </c>
      <c r="F384" t="s">
        <v>59</v>
      </c>
      <c r="G384" t="s">
        <v>34</v>
      </c>
      <c r="H384" s="1">
        <v>44677</v>
      </c>
      <c r="J384">
        <v>772000</v>
      </c>
      <c r="K384">
        <v>0</v>
      </c>
      <c r="L384" t="s">
        <v>24</v>
      </c>
      <c r="M384">
        <f ca="1">IF(ISBLANK(Table1[[#This Row],[Exit]]),DATEDIF(Table1[[#This Row],[Hire]],TODAY(),"Y"),DATEDIF(Table1[[#This Row],[Hire]],Table1[[#This Row],[Exit]],"Y"))</f>
        <v>3</v>
      </c>
      <c r="N384" t="str" cm="1">
        <f t="array" ref="N384">_xlfn.IFS(
AND(D384&gt;=26,D384&lt;=30),"26–30",
AND(D384&gt;=31,D384&lt;=35),"31–35",
AND(D384&gt;=36,D384&lt;=40),"36–40",
AND(D384&gt;=41,D384&lt;=45),"41–45",
AND(D384&gt;=46,D384&lt;=50),"46–50",
AND(D384&gt;=51,D384&lt;=60),"51–60")</f>
        <v>51–60</v>
      </c>
    </row>
    <row r="385" spans="1:14" x14ac:dyDescent="0.35">
      <c r="A385" t="s">
        <v>785</v>
      </c>
      <c r="B385" t="s">
        <v>786</v>
      </c>
      <c r="C385" t="s">
        <v>14</v>
      </c>
      <c r="D385">
        <v>56</v>
      </c>
      <c r="E385" t="s">
        <v>31</v>
      </c>
      <c r="F385" t="s">
        <v>16</v>
      </c>
      <c r="G385" t="s">
        <v>17</v>
      </c>
      <c r="H385" s="1">
        <v>43889</v>
      </c>
      <c r="J385">
        <v>774000</v>
      </c>
      <c r="K385">
        <v>0</v>
      </c>
      <c r="L385" t="s">
        <v>24</v>
      </c>
      <c r="M385">
        <f ca="1">IF(ISBLANK(Table1[[#This Row],[Exit]]),DATEDIF(Table1[[#This Row],[Hire]],TODAY(),"Y"),DATEDIF(Table1[[#This Row],[Hire]],Table1[[#This Row],[Exit]],"Y"))</f>
        <v>5</v>
      </c>
      <c r="N385" t="str" cm="1">
        <f t="array" ref="N385">_xlfn.IFS(
AND(D385&gt;=26,D385&lt;=30),"26–30",
AND(D385&gt;=31,D385&lt;=35),"31–35",
AND(D385&gt;=36,D385&lt;=40),"36–40",
AND(D385&gt;=41,D385&lt;=45),"41–45",
AND(D385&gt;=46,D385&lt;=50),"46–50",
AND(D385&gt;=51,D385&lt;=60),"51–60")</f>
        <v>51–60</v>
      </c>
    </row>
    <row r="386" spans="1:14" x14ac:dyDescent="0.35">
      <c r="A386" t="s">
        <v>787</v>
      </c>
      <c r="B386" t="s">
        <v>788</v>
      </c>
      <c r="C386" t="s">
        <v>14</v>
      </c>
      <c r="D386">
        <v>53</v>
      </c>
      <c r="E386" t="s">
        <v>15</v>
      </c>
      <c r="F386" t="s">
        <v>16</v>
      </c>
      <c r="G386" t="s">
        <v>17</v>
      </c>
      <c r="H386" s="1">
        <v>44116</v>
      </c>
      <c r="I386" s="1">
        <v>45440</v>
      </c>
      <c r="J386">
        <v>776000</v>
      </c>
      <c r="K386">
        <v>0.4</v>
      </c>
      <c r="L386" t="s">
        <v>18</v>
      </c>
      <c r="M386">
        <f ca="1">IF(ISBLANK(Table1[[#This Row],[Exit]]),DATEDIF(Table1[[#This Row],[Hire]],TODAY(),"Y"),DATEDIF(Table1[[#This Row],[Hire]],Table1[[#This Row],[Exit]],"Y"))</f>
        <v>3</v>
      </c>
      <c r="N386" t="str" cm="1">
        <f t="array" ref="N386">_xlfn.IFS(
AND(D386&gt;=26,D386&lt;=30),"26–30",
AND(D386&gt;=31,D386&lt;=35),"31–35",
AND(D386&gt;=36,D386&lt;=40),"36–40",
AND(D386&gt;=41,D386&lt;=45),"41–45",
AND(D386&gt;=46,D386&lt;=50),"46–50",
AND(D386&gt;=51,D386&lt;=60),"51–60")</f>
        <v>51–60</v>
      </c>
    </row>
    <row r="387" spans="1:14" x14ac:dyDescent="0.35">
      <c r="A387" t="s">
        <v>39</v>
      </c>
      <c r="B387" t="s">
        <v>789</v>
      </c>
      <c r="C387" t="s">
        <v>14</v>
      </c>
      <c r="D387">
        <v>47</v>
      </c>
      <c r="E387" t="s">
        <v>22</v>
      </c>
      <c r="F387" t="s">
        <v>16</v>
      </c>
      <c r="G387" t="s">
        <v>23</v>
      </c>
      <c r="H387" s="1">
        <v>44588</v>
      </c>
      <c r="J387">
        <v>778000</v>
      </c>
      <c r="K387">
        <v>0</v>
      </c>
      <c r="L387" t="s">
        <v>24</v>
      </c>
      <c r="M387">
        <f ca="1">IF(ISBLANK(Table1[[#This Row],[Exit]]),DATEDIF(Table1[[#This Row],[Hire]],TODAY(),"Y"),DATEDIF(Table1[[#This Row],[Hire]],Table1[[#This Row],[Exit]],"Y"))</f>
        <v>4</v>
      </c>
      <c r="N387" t="str" cm="1">
        <f t="array" ref="N387">_xlfn.IFS(
AND(D387&gt;=26,D387&lt;=30),"26–30",
AND(D387&gt;=31,D387&lt;=35),"31–35",
AND(D387&gt;=36,D387&lt;=40),"36–40",
AND(D387&gt;=41,D387&lt;=45),"41–45",
AND(D387&gt;=46,D387&lt;=50),"46–50",
AND(D387&gt;=51,D387&lt;=60),"51–60")</f>
        <v>46–50</v>
      </c>
    </row>
    <row r="388" spans="1:14" x14ac:dyDescent="0.35">
      <c r="A388" t="s">
        <v>790</v>
      </c>
      <c r="B388" t="s">
        <v>791</v>
      </c>
      <c r="C388" t="s">
        <v>21</v>
      </c>
      <c r="D388">
        <v>36</v>
      </c>
      <c r="E388" t="s">
        <v>27</v>
      </c>
      <c r="F388" t="s">
        <v>28</v>
      </c>
      <c r="G388" t="s">
        <v>17</v>
      </c>
      <c r="H388" s="1">
        <v>45337</v>
      </c>
      <c r="J388">
        <v>780000</v>
      </c>
      <c r="K388">
        <v>0.34</v>
      </c>
      <c r="L388" t="s">
        <v>24</v>
      </c>
      <c r="M388">
        <f ca="1">IF(ISBLANK(Table1[[#This Row],[Exit]]),DATEDIF(Table1[[#This Row],[Hire]],TODAY(),"Y"),DATEDIF(Table1[[#This Row],[Hire]],Table1[[#This Row],[Exit]],"Y"))</f>
        <v>1</v>
      </c>
      <c r="N388" t="str" cm="1">
        <f t="array" ref="N388">_xlfn.IFS(
AND(D388&gt;=26,D388&lt;=30),"26–30",
AND(D388&gt;=31,D388&lt;=35),"31–35",
AND(D388&gt;=36,D388&lt;=40),"36–40",
AND(D388&gt;=41,D388&lt;=45),"41–45",
AND(D388&gt;=46,D388&lt;=50),"46–50",
AND(D388&gt;=51,D388&lt;=60),"51–60")</f>
        <v>36–40</v>
      </c>
    </row>
    <row r="389" spans="1:14" x14ac:dyDescent="0.35">
      <c r="A389" t="s">
        <v>792</v>
      </c>
      <c r="B389" t="s">
        <v>793</v>
      </c>
      <c r="C389" t="s">
        <v>14</v>
      </c>
      <c r="D389">
        <v>41</v>
      </c>
      <c r="E389" t="s">
        <v>31</v>
      </c>
      <c r="F389" t="s">
        <v>16</v>
      </c>
      <c r="G389" t="s">
        <v>23</v>
      </c>
      <c r="H389" s="1">
        <v>44602</v>
      </c>
      <c r="I389" s="1">
        <v>45440</v>
      </c>
      <c r="J389">
        <v>782000</v>
      </c>
      <c r="K389">
        <v>0</v>
      </c>
      <c r="L389" t="s">
        <v>18</v>
      </c>
      <c r="M389">
        <f ca="1">IF(ISBLANK(Table1[[#This Row],[Exit]]),DATEDIF(Table1[[#This Row],[Hire]],TODAY(),"Y"),DATEDIF(Table1[[#This Row],[Hire]],Table1[[#This Row],[Exit]],"Y"))</f>
        <v>2</v>
      </c>
      <c r="N389" t="str" cm="1">
        <f t="array" ref="N389">_xlfn.IFS(
AND(D389&gt;=26,D389&lt;=30),"26–30",
AND(D389&gt;=31,D389&lt;=35),"31–35",
AND(D389&gt;=36,D389&lt;=40),"36–40",
AND(D389&gt;=41,D389&lt;=45),"41–45",
AND(D389&gt;=46,D389&lt;=50),"46–50",
AND(D389&gt;=51,D389&lt;=60),"51–60")</f>
        <v>41–45</v>
      </c>
    </row>
    <row r="390" spans="1:14" x14ac:dyDescent="0.35">
      <c r="A390" t="s">
        <v>794</v>
      </c>
      <c r="B390" t="s">
        <v>795</v>
      </c>
      <c r="C390" t="s">
        <v>14</v>
      </c>
      <c r="D390">
        <v>31</v>
      </c>
      <c r="E390" t="s">
        <v>27</v>
      </c>
      <c r="F390" t="s">
        <v>28</v>
      </c>
      <c r="G390" t="s">
        <v>34</v>
      </c>
      <c r="H390" s="1">
        <v>44183</v>
      </c>
      <c r="J390">
        <v>784000</v>
      </c>
      <c r="K390">
        <v>0</v>
      </c>
      <c r="L390" t="s">
        <v>24</v>
      </c>
      <c r="M390">
        <f ca="1">IF(ISBLANK(Table1[[#This Row],[Exit]]),DATEDIF(Table1[[#This Row],[Hire]],TODAY(),"Y"),DATEDIF(Table1[[#This Row],[Hire]],Table1[[#This Row],[Exit]],"Y"))</f>
        <v>5</v>
      </c>
      <c r="N390" t="str" cm="1">
        <f t="array" ref="N390">_xlfn.IFS(
AND(D390&gt;=26,D390&lt;=30),"26–30",
AND(D390&gt;=31,D390&lt;=35),"31–35",
AND(D390&gt;=36,D390&lt;=40),"36–40",
AND(D390&gt;=41,D390&lt;=45),"41–45",
AND(D390&gt;=46,D390&lt;=50),"46–50",
AND(D390&gt;=51,D390&lt;=60),"51–60")</f>
        <v>31–35</v>
      </c>
    </row>
    <row r="391" spans="1:14" x14ac:dyDescent="0.35">
      <c r="A391" t="s">
        <v>39</v>
      </c>
      <c r="B391" t="s">
        <v>796</v>
      </c>
      <c r="C391" t="s">
        <v>14</v>
      </c>
      <c r="D391">
        <v>31</v>
      </c>
      <c r="E391" t="s">
        <v>15</v>
      </c>
      <c r="F391" t="s">
        <v>16</v>
      </c>
      <c r="G391" t="s">
        <v>23</v>
      </c>
      <c r="H391" s="1">
        <v>43837</v>
      </c>
      <c r="J391">
        <v>786000</v>
      </c>
      <c r="K391">
        <v>0.11</v>
      </c>
      <c r="L391" t="s">
        <v>24</v>
      </c>
      <c r="M391">
        <f ca="1">IF(ISBLANK(Table1[[#This Row],[Exit]]),DATEDIF(Table1[[#This Row],[Hire]],TODAY(),"Y"),DATEDIF(Table1[[#This Row],[Hire]],Table1[[#This Row],[Exit]],"Y"))</f>
        <v>6</v>
      </c>
      <c r="N391" t="str" cm="1">
        <f t="array" ref="N391">_xlfn.IFS(
AND(D391&gt;=26,D391&lt;=30),"26–30",
AND(D391&gt;=31,D391&lt;=35),"31–35",
AND(D391&gt;=36,D391&lt;=40),"36–40",
AND(D391&gt;=41,D391&lt;=45),"41–45",
AND(D391&gt;=46,D391&lt;=50),"46–50",
AND(D391&gt;=51,D391&lt;=60),"51–60")</f>
        <v>31–35</v>
      </c>
    </row>
    <row r="392" spans="1:14" x14ac:dyDescent="0.35">
      <c r="A392" t="s">
        <v>44</v>
      </c>
      <c r="B392" t="s">
        <v>797</v>
      </c>
      <c r="C392" t="s">
        <v>14</v>
      </c>
      <c r="D392">
        <v>38</v>
      </c>
      <c r="E392" t="s">
        <v>15</v>
      </c>
      <c r="F392" t="s">
        <v>16</v>
      </c>
      <c r="G392" t="s">
        <v>34</v>
      </c>
      <c r="H392" s="1">
        <v>45206</v>
      </c>
      <c r="J392">
        <v>788000</v>
      </c>
      <c r="K392">
        <v>0.12</v>
      </c>
      <c r="L392" t="s">
        <v>24</v>
      </c>
      <c r="M392">
        <f ca="1">IF(ISBLANK(Table1[[#This Row],[Exit]]),DATEDIF(Table1[[#This Row],[Hire]],TODAY(),"Y"),DATEDIF(Table1[[#This Row],[Hire]],Table1[[#This Row],[Exit]],"Y"))</f>
        <v>2</v>
      </c>
      <c r="N392" t="str" cm="1">
        <f t="array" ref="N392">_xlfn.IFS(
AND(D392&gt;=26,D392&lt;=30),"26–30",
AND(D392&gt;=31,D392&lt;=35),"31–35",
AND(D392&gt;=36,D392&lt;=40),"36–40",
AND(D392&gt;=41,D392&lt;=45),"41–45",
AND(D392&gt;=46,D392&lt;=50),"46–50",
AND(D392&gt;=51,D392&lt;=60),"51–60")</f>
        <v>36–40</v>
      </c>
    </row>
    <row r="393" spans="1:14" x14ac:dyDescent="0.35">
      <c r="A393" t="s">
        <v>798</v>
      </c>
      <c r="B393" t="s">
        <v>799</v>
      </c>
      <c r="C393" t="s">
        <v>14</v>
      </c>
      <c r="D393">
        <v>31</v>
      </c>
      <c r="E393" t="s">
        <v>42</v>
      </c>
      <c r="F393" t="s">
        <v>43</v>
      </c>
      <c r="G393" t="s">
        <v>34</v>
      </c>
      <c r="H393" s="1">
        <v>44487</v>
      </c>
      <c r="J393">
        <v>790000</v>
      </c>
      <c r="K393">
        <v>0.23</v>
      </c>
      <c r="L393" t="s">
        <v>24</v>
      </c>
      <c r="M393">
        <f ca="1">IF(ISBLANK(Table1[[#This Row],[Exit]]),DATEDIF(Table1[[#This Row],[Hire]],TODAY(),"Y"),DATEDIF(Table1[[#This Row],[Hire]],Table1[[#This Row],[Exit]],"Y"))</f>
        <v>4</v>
      </c>
      <c r="N393" t="str" cm="1">
        <f t="array" ref="N393">_xlfn.IFS(
AND(D393&gt;=26,D393&lt;=30),"26–30",
AND(D393&gt;=31,D393&lt;=35),"31–35",
AND(D393&gt;=36,D393&lt;=40),"36–40",
AND(D393&gt;=41,D393&lt;=45),"41–45",
AND(D393&gt;=46,D393&lt;=50),"46–50",
AND(D393&gt;=51,D393&lt;=60),"51–60")</f>
        <v>31–35</v>
      </c>
    </row>
    <row r="394" spans="1:14" x14ac:dyDescent="0.35">
      <c r="A394" t="s">
        <v>494</v>
      </c>
      <c r="B394" t="s">
        <v>800</v>
      </c>
      <c r="C394" t="s">
        <v>14</v>
      </c>
      <c r="D394">
        <v>39</v>
      </c>
      <c r="E394" t="s">
        <v>42</v>
      </c>
      <c r="F394" t="s">
        <v>46</v>
      </c>
      <c r="G394" t="s">
        <v>23</v>
      </c>
      <c r="H394" s="1">
        <v>44791</v>
      </c>
      <c r="J394">
        <v>792000</v>
      </c>
      <c r="K394">
        <v>0</v>
      </c>
      <c r="L394" t="s">
        <v>24</v>
      </c>
      <c r="M394">
        <f ca="1">IF(ISBLANK(Table1[[#This Row],[Exit]]),DATEDIF(Table1[[#This Row],[Hire]],TODAY(),"Y"),DATEDIF(Table1[[#This Row],[Hire]],Table1[[#This Row],[Exit]],"Y"))</f>
        <v>3</v>
      </c>
      <c r="N394" t="str" cm="1">
        <f t="array" ref="N394">_xlfn.IFS(
AND(D394&gt;=26,D394&lt;=30),"26–30",
AND(D394&gt;=31,D394&lt;=35),"31–35",
AND(D394&gt;=36,D394&lt;=40),"36–40",
AND(D394&gt;=41,D394&lt;=45),"41–45",
AND(D394&gt;=46,D394&lt;=50),"46–50",
AND(D394&gt;=51,D394&lt;=60),"51–60")</f>
        <v>36–40</v>
      </c>
    </row>
    <row r="395" spans="1:14" x14ac:dyDescent="0.35">
      <c r="A395" t="s">
        <v>801</v>
      </c>
      <c r="B395" t="s">
        <v>802</v>
      </c>
      <c r="C395" t="s">
        <v>21</v>
      </c>
      <c r="D395">
        <v>31</v>
      </c>
      <c r="E395" t="s">
        <v>42</v>
      </c>
      <c r="F395" t="s">
        <v>49</v>
      </c>
      <c r="G395" t="s">
        <v>17</v>
      </c>
      <c r="H395" s="1">
        <v>45440</v>
      </c>
      <c r="J395">
        <v>794000</v>
      </c>
      <c r="K395">
        <v>0.06</v>
      </c>
      <c r="L395" t="s">
        <v>24</v>
      </c>
      <c r="M395">
        <f ca="1">IF(ISBLANK(Table1[[#This Row],[Exit]]),DATEDIF(Table1[[#This Row],[Hire]],TODAY(),"Y"),DATEDIF(Table1[[#This Row],[Hire]],Table1[[#This Row],[Exit]],"Y"))</f>
        <v>1</v>
      </c>
      <c r="N395" t="str" cm="1">
        <f t="array" ref="N395">_xlfn.IFS(
AND(D395&gt;=26,D395&lt;=30),"26–30",
AND(D395&gt;=31,D395&lt;=35),"31–35",
AND(D395&gt;=36,D395&lt;=40),"36–40",
AND(D395&gt;=41,D395&lt;=45),"41–45",
AND(D395&gt;=46,D395&lt;=50),"46–50",
AND(D395&gt;=51,D395&lt;=60),"51–60")</f>
        <v>31–35</v>
      </c>
    </row>
    <row r="396" spans="1:14" x14ac:dyDescent="0.35">
      <c r="A396" t="s">
        <v>803</v>
      </c>
      <c r="B396" t="s">
        <v>804</v>
      </c>
      <c r="C396" t="s">
        <v>14</v>
      </c>
      <c r="D396">
        <v>45</v>
      </c>
      <c r="E396" t="s">
        <v>52</v>
      </c>
      <c r="F396" t="s">
        <v>16</v>
      </c>
      <c r="G396" t="s">
        <v>53</v>
      </c>
      <c r="H396" s="1">
        <v>44811</v>
      </c>
      <c r="J396">
        <v>796000</v>
      </c>
      <c r="K396">
        <v>0</v>
      </c>
      <c r="L396" t="s">
        <v>24</v>
      </c>
      <c r="M396">
        <f ca="1">IF(ISBLANK(Table1[[#This Row],[Exit]]),DATEDIF(Table1[[#This Row],[Hire]],TODAY(),"Y"),DATEDIF(Table1[[#This Row],[Hire]],Table1[[#This Row],[Exit]],"Y"))</f>
        <v>3</v>
      </c>
      <c r="N396" t="str" cm="1">
        <f t="array" ref="N396">_xlfn.IFS(
AND(D396&gt;=26,D396&lt;=30),"26–30",
AND(D396&gt;=31,D396&lt;=35),"31–35",
AND(D396&gt;=36,D396&lt;=40),"36–40",
AND(D396&gt;=41,D396&lt;=45),"41–45",
AND(D396&gt;=46,D396&lt;=50),"46–50",
AND(D396&gt;=51,D396&lt;=60),"51–60")</f>
        <v>41–45</v>
      </c>
    </row>
    <row r="397" spans="1:14" x14ac:dyDescent="0.35">
      <c r="A397" t="s">
        <v>805</v>
      </c>
      <c r="B397" t="s">
        <v>806</v>
      </c>
      <c r="C397" t="s">
        <v>21</v>
      </c>
      <c r="D397">
        <v>50</v>
      </c>
      <c r="E397" t="s">
        <v>42</v>
      </c>
      <c r="F397" t="s">
        <v>46</v>
      </c>
      <c r="G397" t="s">
        <v>53</v>
      </c>
      <c r="H397" s="1">
        <v>45294</v>
      </c>
      <c r="J397">
        <v>798000</v>
      </c>
      <c r="K397">
        <v>0</v>
      </c>
      <c r="L397" t="s">
        <v>24</v>
      </c>
      <c r="M397">
        <f ca="1">IF(ISBLANK(Table1[[#This Row],[Exit]]),DATEDIF(Table1[[#This Row],[Hire]],TODAY(),"Y"),DATEDIF(Table1[[#This Row],[Hire]],Table1[[#This Row],[Exit]],"Y"))</f>
        <v>2</v>
      </c>
      <c r="N397" t="str" cm="1">
        <f t="array" ref="N397">_xlfn.IFS(
AND(D397&gt;=26,D397&lt;=30),"26–30",
AND(D397&gt;=31,D397&lt;=35),"31–35",
AND(D397&gt;=36,D397&lt;=40),"36–40",
AND(D397&gt;=41,D397&lt;=45),"41–45",
AND(D397&gt;=46,D397&lt;=50),"46–50",
AND(D397&gt;=51,D397&lt;=60),"51–60")</f>
        <v>46–50</v>
      </c>
    </row>
    <row r="398" spans="1:14" x14ac:dyDescent="0.35">
      <c r="A398" t="s">
        <v>807</v>
      </c>
      <c r="B398" t="s">
        <v>808</v>
      </c>
      <c r="C398" t="s">
        <v>21</v>
      </c>
      <c r="D398">
        <v>36</v>
      </c>
      <c r="E398" t="s">
        <v>58</v>
      </c>
      <c r="F398" t="s">
        <v>59</v>
      </c>
      <c r="G398" t="s">
        <v>34</v>
      </c>
      <c r="H398" s="1">
        <v>45074</v>
      </c>
      <c r="J398">
        <v>800000</v>
      </c>
      <c r="K398">
        <v>0.27</v>
      </c>
      <c r="L398" t="s">
        <v>24</v>
      </c>
      <c r="M398">
        <f ca="1">IF(ISBLANK(Table1[[#This Row],[Exit]]),DATEDIF(Table1[[#This Row],[Hire]],TODAY(),"Y"),DATEDIF(Table1[[#This Row],[Hire]],Table1[[#This Row],[Exit]],"Y"))</f>
        <v>2</v>
      </c>
      <c r="N398" t="str" cm="1">
        <f t="array" ref="N398">_xlfn.IFS(
AND(D398&gt;=26,D398&lt;=30),"26–30",
AND(D398&gt;=31,D398&lt;=35),"31–35",
AND(D398&gt;=36,D398&lt;=40),"36–40",
AND(D398&gt;=41,D398&lt;=45),"41–45",
AND(D398&gt;=46,D398&lt;=50),"46–50",
AND(D398&gt;=51,D398&lt;=60),"51–60")</f>
        <v>36–40</v>
      </c>
    </row>
    <row r="399" spans="1:14" x14ac:dyDescent="0.35">
      <c r="A399" t="s">
        <v>809</v>
      </c>
      <c r="B399" t="s">
        <v>810</v>
      </c>
      <c r="C399" t="s">
        <v>41</v>
      </c>
      <c r="D399">
        <v>45</v>
      </c>
      <c r="E399" t="s">
        <v>52</v>
      </c>
      <c r="F399" t="s">
        <v>16</v>
      </c>
      <c r="G399" t="s">
        <v>23</v>
      </c>
      <c r="H399" s="1">
        <v>45245</v>
      </c>
      <c r="J399">
        <v>802000</v>
      </c>
      <c r="K399">
        <v>0</v>
      </c>
      <c r="L399" t="s">
        <v>24</v>
      </c>
      <c r="M399">
        <f ca="1">IF(ISBLANK(Table1[[#This Row],[Exit]]),DATEDIF(Table1[[#This Row],[Hire]],TODAY(),"Y"),DATEDIF(Table1[[#This Row],[Hire]],Table1[[#This Row],[Exit]],"Y"))</f>
        <v>2</v>
      </c>
      <c r="N399" t="str" cm="1">
        <f t="array" ref="N399">_xlfn.IFS(
AND(D399&gt;=26,D399&lt;=30),"26–30",
AND(D399&gt;=31,D399&lt;=35),"31–35",
AND(D399&gt;=36,D399&lt;=40),"36–40",
AND(D399&gt;=41,D399&lt;=45),"41–45",
AND(D399&gt;=46,D399&lt;=50),"46–50",
AND(D399&gt;=51,D399&lt;=60),"51–60")</f>
        <v>41–45</v>
      </c>
    </row>
    <row r="400" spans="1:14" x14ac:dyDescent="0.35">
      <c r="A400" t="s">
        <v>47</v>
      </c>
      <c r="B400" t="s">
        <v>811</v>
      </c>
      <c r="C400" t="s">
        <v>14</v>
      </c>
      <c r="D400">
        <v>31</v>
      </c>
      <c r="E400" t="s">
        <v>52</v>
      </c>
      <c r="F400" t="s">
        <v>16</v>
      </c>
      <c r="G400" t="s">
        <v>34</v>
      </c>
      <c r="H400" s="1">
        <v>43851</v>
      </c>
      <c r="J400">
        <v>804000</v>
      </c>
      <c r="K400">
        <v>0.12</v>
      </c>
      <c r="L400" t="s">
        <v>24</v>
      </c>
      <c r="M400">
        <f ca="1">IF(ISBLANK(Table1[[#This Row],[Exit]]),DATEDIF(Table1[[#This Row],[Hire]],TODAY(),"Y"),DATEDIF(Table1[[#This Row],[Hire]],Table1[[#This Row],[Exit]],"Y"))</f>
        <v>6</v>
      </c>
      <c r="N400" t="str" cm="1">
        <f t="array" ref="N400">_xlfn.IFS(
AND(D400&gt;=26,D400&lt;=30),"26–30",
AND(D400&gt;=31,D400&lt;=35),"31–35",
AND(D400&gt;=36,D400&lt;=40),"36–40",
AND(D400&gt;=41,D400&lt;=45),"41–45",
AND(D400&gt;=46,D400&lt;=50),"46–50",
AND(D400&gt;=51,D400&lt;=60),"51–60")</f>
        <v>31–35</v>
      </c>
    </row>
    <row r="401" spans="1:14" x14ac:dyDescent="0.35">
      <c r="A401" t="s">
        <v>812</v>
      </c>
      <c r="B401" t="s">
        <v>813</v>
      </c>
      <c r="C401" t="s">
        <v>41</v>
      </c>
      <c r="D401">
        <v>41</v>
      </c>
      <c r="E401" t="s">
        <v>66</v>
      </c>
      <c r="F401" t="s">
        <v>16</v>
      </c>
      <c r="G401" t="s">
        <v>17</v>
      </c>
      <c r="H401" s="1">
        <v>45206</v>
      </c>
      <c r="J401">
        <v>806000</v>
      </c>
      <c r="K401">
        <v>0.15</v>
      </c>
      <c r="L401" t="s">
        <v>24</v>
      </c>
      <c r="M401">
        <f ca="1">IF(ISBLANK(Table1[[#This Row],[Exit]]),DATEDIF(Table1[[#This Row],[Hire]],TODAY(),"Y"),DATEDIF(Table1[[#This Row],[Hire]],Table1[[#This Row],[Exit]],"Y"))</f>
        <v>2</v>
      </c>
      <c r="N401" t="str" cm="1">
        <f t="array" ref="N401">_xlfn.IFS(
AND(D401&gt;=26,D401&lt;=30),"26–30",
AND(D401&gt;=31,D401&lt;=35),"31–35",
AND(D401&gt;=36,D401&lt;=40),"36–40",
AND(D401&gt;=41,D401&lt;=45),"41–45",
AND(D401&gt;=46,D401&lt;=50),"46–50",
AND(D401&gt;=51,D401&lt;=60),"51–60")</f>
        <v>41–45</v>
      </c>
    </row>
    <row r="402" spans="1:14" x14ac:dyDescent="0.35">
      <c r="A402" t="s">
        <v>814</v>
      </c>
      <c r="B402" t="s">
        <v>815</v>
      </c>
      <c r="C402" t="s">
        <v>14</v>
      </c>
      <c r="D402">
        <v>47</v>
      </c>
      <c r="E402" t="s">
        <v>58</v>
      </c>
      <c r="F402" t="s">
        <v>59</v>
      </c>
      <c r="G402" t="s">
        <v>23</v>
      </c>
      <c r="H402" s="1">
        <v>45401</v>
      </c>
      <c r="J402">
        <v>808000</v>
      </c>
      <c r="K402">
        <v>0.08</v>
      </c>
      <c r="L402" t="s">
        <v>24</v>
      </c>
      <c r="M402">
        <f ca="1">IF(ISBLANK(Table1[[#This Row],[Exit]]),DATEDIF(Table1[[#This Row],[Hire]],TODAY(),"Y"),DATEDIF(Table1[[#This Row],[Hire]],Table1[[#This Row],[Exit]],"Y"))</f>
        <v>1</v>
      </c>
      <c r="N402" t="str" cm="1">
        <f t="array" ref="N402">_xlfn.IFS(
AND(D402&gt;=26,D402&lt;=30),"26–30",
AND(D402&gt;=31,D402&lt;=35),"31–35",
AND(D402&gt;=36,D402&lt;=40),"36–40",
AND(D402&gt;=41,D402&lt;=45),"41–45",
AND(D402&gt;=46,D402&lt;=50),"46–50",
AND(D402&gt;=51,D402&lt;=60),"51–60")</f>
        <v>46–50</v>
      </c>
    </row>
    <row r="403" spans="1:14" x14ac:dyDescent="0.35">
      <c r="A403" t="s">
        <v>816</v>
      </c>
      <c r="B403" t="s">
        <v>817</v>
      </c>
      <c r="C403" t="s">
        <v>21</v>
      </c>
      <c r="D403">
        <v>38</v>
      </c>
      <c r="E403" t="s">
        <v>66</v>
      </c>
      <c r="F403" t="s">
        <v>16</v>
      </c>
      <c r="G403" t="s">
        <v>34</v>
      </c>
      <c r="H403" s="1">
        <v>44083</v>
      </c>
      <c r="J403">
        <v>810000</v>
      </c>
      <c r="K403">
        <v>0</v>
      </c>
      <c r="L403" t="s">
        <v>24</v>
      </c>
      <c r="M403">
        <f ca="1">IF(ISBLANK(Table1[[#This Row],[Exit]]),DATEDIF(Table1[[#This Row],[Hire]],TODAY(),"Y"),DATEDIF(Table1[[#This Row],[Hire]],Table1[[#This Row],[Exit]],"Y"))</f>
        <v>5</v>
      </c>
      <c r="N403" t="str" cm="1">
        <f t="array" ref="N403">_xlfn.IFS(
AND(D403&gt;=26,D403&lt;=30),"26–30",
AND(D403&gt;=31,D403&lt;=35),"31–35",
AND(D403&gt;=36,D403&lt;=40),"36–40",
AND(D403&gt;=41,D403&lt;=45),"41–45",
AND(D403&gt;=46,D403&lt;=50),"46–50",
AND(D403&gt;=51,D403&lt;=60),"51–60")</f>
        <v>36–40</v>
      </c>
    </row>
    <row r="404" spans="1:14" x14ac:dyDescent="0.35">
      <c r="A404" t="s">
        <v>818</v>
      </c>
      <c r="B404" t="s">
        <v>819</v>
      </c>
      <c r="C404" t="s">
        <v>21</v>
      </c>
      <c r="D404">
        <v>40</v>
      </c>
      <c r="E404" t="s">
        <v>66</v>
      </c>
      <c r="F404" t="s">
        <v>16</v>
      </c>
      <c r="G404" t="s">
        <v>53</v>
      </c>
      <c r="H404" s="1">
        <v>45233</v>
      </c>
      <c r="J404">
        <v>812000</v>
      </c>
      <c r="K404">
        <v>0</v>
      </c>
      <c r="L404" t="s">
        <v>24</v>
      </c>
      <c r="M404">
        <f ca="1">IF(ISBLANK(Table1[[#This Row],[Exit]]),DATEDIF(Table1[[#This Row],[Hire]],TODAY(),"Y"),DATEDIF(Table1[[#This Row],[Hire]],Table1[[#This Row],[Exit]],"Y"))</f>
        <v>2</v>
      </c>
      <c r="N404" t="str" cm="1">
        <f t="array" ref="N404">_xlfn.IFS(
AND(D404&gt;=26,D404&lt;=30),"26–30",
AND(D404&gt;=31,D404&lt;=35),"31–35",
AND(D404&gt;=36,D404&lt;=40),"36–40",
AND(D404&gt;=41,D404&lt;=45),"41–45",
AND(D404&gt;=46,D404&lt;=50),"46–50",
AND(D404&gt;=51,D404&lt;=60),"51–60")</f>
        <v>36–40</v>
      </c>
    </row>
    <row r="405" spans="1:14" x14ac:dyDescent="0.35">
      <c r="A405" t="s">
        <v>820</v>
      </c>
      <c r="B405" t="s">
        <v>821</v>
      </c>
      <c r="C405" t="s">
        <v>21</v>
      </c>
      <c r="D405">
        <v>45</v>
      </c>
      <c r="E405" t="s">
        <v>58</v>
      </c>
      <c r="F405" t="s">
        <v>59</v>
      </c>
      <c r="G405" t="s">
        <v>53</v>
      </c>
      <c r="H405" s="1">
        <v>44681</v>
      </c>
      <c r="I405" s="1">
        <v>45237</v>
      </c>
      <c r="J405">
        <v>814000</v>
      </c>
      <c r="K405">
        <v>0.12</v>
      </c>
      <c r="L405" t="s">
        <v>18</v>
      </c>
      <c r="M405">
        <f ca="1">IF(ISBLANK(Table1[[#This Row],[Exit]]),DATEDIF(Table1[[#This Row],[Hire]],TODAY(),"Y"),DATEDIF(Table1[[#This Row],[Hire]],Table1[[#This Row],[Exit]],"Y"))</f>
        <v>1</v>
      </c>
      <c r="N405" t="str" cm="1">
        <f t="array" ref="N405">_xlfn.IFS(
AND(D405&gt;=26,D405&lt;=30),"26–30",
AND(D405&gt;=31,D405&lt;=35),"31–35",
AND(D405&gt;=36,D405&lt;=40),"36–40",
AND(D405&gt;=41,D405&lt;=45),"41–45",
AND(D405&gt;=46,D405&lt;=50),"46–50",
AND(D405&gt;=51,D405&lt;=60),"51–60")</f>
        <v>41–45</v>
      </c>
    </row>
    <row r="406" spans="1:14" x14ac:dyDescent="0.35">
      <c r="A406" t="s">
        <v>822</v>
      </c>
      <c r="B406" t="s">
        <v>823</v>
      </c>
      <c r="C406" t="s">
        <v>14</v>
      </c>
      <c r="D406">
        <v>31</v>
      </c>
      <c r="E406" t="s">
        <v>15</v>
      </c>
      <c r="F406" t="s">
        <v>16</v>
      </c>
      <c r="G406" t="s">
        <v>53</v>
      </c>
      <c r="H406" s="1">
        <v>43887</v>
      </c>
      <c r="J406">
        <v>816000</v>
      </c>
      <c r="K406">
        <v>0.14000000000000001</v>
      </c>
      <c r="L406" t="s">
        <v>24</v>
      </c>
      <c r="M406">
        <f ca="1">IF(ISBLANK(Table1[[#This Row],[Exit]]),DATEDIF(Table1[[#This Row],[Hire]],TODAY(),"Y"),DATEDIF(Table1[[#This Row],[Hire]],Table1[[#This Row],[Exit]],"Y"))</f>
        <v>5</v>
      </c>
      <c r="N406" t="str" cm="1">
        <f t="array" ref="N406">_xlfn.IFS(
AND(D406&gt;=26,D406&lt;=30),"26–30",
AND(D406&gt;=31,D406&lt;=35),"31–35",
AND(D406&gt;=36,D406&lt;=40),"36–40",
AND(D406&gt;=41,D406&lt;=45),"41–45",
AND(D406&gt;=46,D406&lt;=50),"46–50",
AND(D406&gt;=51,D406&lt;=60),"51–60")</f>
        <v>31–35</v>
      </c>
    </row>
    <row r="407" spans="1:14" x14ac:dyDescent="0.35">
      <c r="A407" t="s">
        <v>824</v>
      </c>
      <c r="B407" t="s">
        <v>825</v>
      </c>
      <c r="C407" t="s">
        <v>21</v>
      </c>
      <c r="D407">
        <v>35</v>
      </c>
      <c r="E407" t="s">
        <v>22</v>
      </c>
      <c r="F407" t="s">
        <v>16</v>
      </c>
      <c r="G407" t="s">
        <v>53</v>
      </c>
      <c r="H407" s="1">
        <v>44815</v>
      </c>
      <c r="J407">
        <v>818000</v>
      </c>
      <c r="K407">
        <v>0</v>
      </c>
      <c r="L407" t="s">
        <v>24</v>
      </c>
      <c r="M407">
        <f ca="1">IF(ISBLANK(Table1[[#This Row],[Exit]]),DATEDIF(Table1[[#This Row],[Hire]],TODAY(),"Y"),DATEDIF(Table1[[#This Row],[Hire]],Table1[[#This Row],[Exit]],"Y"))</f>
        <v>3</v>
      </c>
      <c r="N407" t="str" cm="1">
        <f t="array" ref="N407">_xlfn.IFS(
AND(D407&gt;=26,D407&lt;=30),"26–30",
AND(D407&gt;=31,D407&lt;=35),"31–35",
AND(D407&gt;=36,D407&lt;=40),"36–40",
AND(D407&gt;=41,D407&lt;=45),"41–45",
AND(D407&gt;=46,D407&lt;=50),"46–50",
AND(D407&gt;=51,D407&lt;=60),"51–60")</f>
        <v>31–35</v>
      </c>
    </row>
    <row r="408" spans="1:14" x14ac:dyDescent="0.35">
      <c r="A408" t="s">
        <v>826</v>
      </c>
      <c r="B408" t="s">
        <v>827</v>
      </c>
      <c r="C408" t="s">
        <v>14</v>
      </c>
      <c r="D408">
        <v>31</v>
      </c>
      <c r="E408" t="s">
        <v>81</v>
      </c>
      <c r="F408" t="s">
        <v>43</v>
      </c>
      <c r="G408" t="s">
        <v>53</v>
      </c>
      <c r="H408" s="1">
        <v>45430</v>
      </c>
      <c r="J408">
        <v>820000</v>
      </c>
      <c r="K408">
        <v>0</v>
      </c>
      <c r="L408" t="s">
        <v>24</v>
      </c>
      <c r="M408">
        <f ca="1">IF(ISBLANK(Table1[[#This Row],[Exit]]),DATEDIF(Table1[[#This Row],[Hire]],TODAY(),"Y"),DATEDIF(Table1[[#This Row],[Hire]],Table1[[#This Row],[Exit]],"Y"))</f>
        <v>1</v>
      </c>
      <c r="N408" t="str" cm="1">
        <f t="array" ref="N408">_xlfn.IFS(
AND(D408&gt;=26,D408&lt;=30),"26–30",
AND(D408&gt;=31,D408&lt;=35),"31–35",
AND(D408&gt;=36,D408&lt;=40),"36–40",
AND(D408&gt;=41,D408&lt;=45),"41–45",
AND(D408&gt;=46,D408&lt;=50),"46–50",
AND(D408&gt;=51,D408&lt;=60),"51–60")</f>
        <v>31–35</v>
      </c>
    </row>
    <row r="409" spans="1:14" x14ac:dyDescent="0.35">
      <c r="A409" t="s">
        <v>828</v>
      </c>
      <c r="B409" t="s">
        <v>829</v>
      </c>
      <c r="C409" t="s">
        <v>14</v>
      </c>
      <c r="D409">
        <v>35</v>
      </c>
      <c r="E409" t="s">
        <v>52</v>
      </c>
      <c r="F409" t="s">
        <v>16</v>
      </c>
      <c r="G409" t="s">
        <v>17</v>
      </c>
      <c r="H409" s="1">
        <v>44509</v>
      </c>
      <c r="J409">
        <v>822000</v>
      </c>
      <c r="K409">
        <v>0</v>
      </c>
      <c r="L409" t="s">
        <v>24</v>
      </c>
      <c r="M409">
        <f ca="1">IF(ISBLANK(Table1[[#This Row],[Exit]]),DATEDIF(Table1[[#This Row],[Hire]],TODAY(),"Y"),DATEDIF(Table1[[#This Row],[Hire]],Table1[[#This Row],[Exit]],"Y"))</f>
        <v>4</v>
      </c>
      <c r="N409" t="str" cm="1">
        <f t="array" ref="N409">_xlfn.IFS(
AND(D409&gt;=26,D409&lt;=30),"26–30",
AND(D409&gt;=31,D409&lt;=35),"31–35",
AND(D409&gt;=36,D409&lt;=40),"36–40",
AND(D409&gt;=41,D409&lt;=45),"41–45",
AND(D409&gt;=46,D409&lt;=50),"46–50",
AND(D409&gt;=51,D409&lt;=60),"51–60")</f>
        <v>31–35</v>
      </c>
    </row>
    <row r="410" spans="1:14" x14ac:dyDescent="0.35">
      <c r="A410" t="s">
        <v>830</v>
      </c>
      <c r="B410" t="s">
        <v>831</v>
      </c>
      <c r="C410" t="s">
        <v>14</v>
      </c>
      <c r="D410">
        <v>31</v>
      </c>
      <c r="E410" t="s">
        <v>66</v>
      </c>
      <c r="F410" t="s">
        <v>16</v>
      </c>
      <c r="G410" t="s">
        <v>23</v>
      </c>
      <c r="H410" s="1">
        <v>43963</v>
      </c>
      <c r="J410">
        <v>824000</v>
      </c>
      <c r="K410">
        <v>0</v>
      </c>
      <c r="L410" t="s">
        <v>24</v>
      </c>
      <c r="M410">
        <f ca="1">IF(ISBLANK(Table1[[#This Row],[Exit]]),DATEDIF(Table1[[#This Row],[Hire]],TODAY(),"Y"),DATEDIF(Table1[[#This Row],[Hire]],Table1[[#This Row],[Exit]],"Y"))</f>
        <v>5</v>
      </c>
      <c r="N410" t="str" cm="1">
        <f t="array" ref="N410">_xlfn.IFS(
AND(D410&gt;=26,D410&lt;=30),"26–30",
AND(D410&gt;=31,D410&lt;=35),"31–35",
AND(D410&gt;=36,D410&lt;=40),"36–40",
AND(D410&gt;=41,D410&lt;=45),"41–45",
AND(D410&gt;=46,D410&lt;=50),"46–50",
AND(D410&gt;=51,D410&lt;=60),"51–60")</f>
        <v>31–35</v>
      </c>
    </row>
    <row r="411" spans="1:14" x14ac:dyDescent="0.35">
      <c r="A411" t="s">
        <v>832</v>
      </c>
      <c r="B411" t="s">
        <v>833</v>
      </c>
      <c r="C411" t="s">
        <v>14</v>
      </c>
      <c r="D411">
        <v>31</v>
      </c>
      <c r="E411" t="s">
        <v>31</v>
      </c>
      <c r="F411" t="s">
        <v>16</v>
      </c>
      <c r="G411" t="s">
        <v>53</v>
      </c>
      <c r="H411" s="1">
        <v>44815</v>
      </c>
      <c r="J411">
        <v>826000</v>
      </c>
      <c r="K411">
        <v>0.23</v>
      </c>
      <c r="L411" t="s">
        <v>24</v>
      </c>
      <c r="M411">
        <f ca="1">IF(ISBLANK(Table1[[#This Row],[Exit]]),DATEDIF(Table1[[#This Row],[Hire]],TODAY(),"Y"),DATEDIF(Table1[[#This Row],[Hire]],Table1[[#This Row],[Exit]],"Y"))</f>
        <v>3</v>
      </c>
      <c r="N411" t="str" cm="1">
        <f t="array" ref="N411">_xlfn.IFS(
AND(D411&gt;=26,D411&lt;=30),"26–30",
AND(D411&gt;=31,D411&lt;=35),"31–35",
AND(D411&gt;=36,D411&lt;=40),"36–40",
AND(D411&gt;=41,D411&lt;=45),"41–45",
AND(D411&gt;=46,D411&lt;=50),"46–50",
AND(D411&gt;=51,D411&lt;=60),"51–60")</f>
        <v>31–35</v>
      </c>
    </row>
    <row r="412" spans="1:14" x14ac:dyDescent="0.35">
      <c r="A412" t="s">
        <v>834</v>
      </c>
      <c r="B412" t="s">
        <v>835</v>
      </c>
      <c r="C412" t="s">
        <v>14</v>
      </c>
      <c r="D412">
        <v>31</v>
      </c>
      <c r="E412" t="s">
        <v>81</v>
      </c>
      <c r="F412" t="s">
        <v>49</v>
      </c>
      <c r="G412" t="s">
        <v>34</v>
      </c>
      <c r="H412" s="1">
        <v>44857</v>
      </c>
      <c r="J412">
        <v>828000</v>
      </c>
      <c r="K412">
        <v>0.36</v>
      </c>
      <c r="L412" t="s">
        <v>24</v>
      </c>
      <c r="M412">
        <f ca="1">IF(ISBLANK(Table1[[#This Row],[Exit]]),DATEDIF(Table1[[#This Row],[Hire]],TODAY(),"Y"),DATEDIF(Table1[[#This Row],[Hire]],Table1[[#This Row],[Exit]],"Y"))</f>
        <v>3</v>
      </c>
      <c r="N412" t="str" cm="1">
        <f t="array" ref="N412">_xlfn.IFS(
AND(D412&gt;=26,D412&lt;=30),"26–30",
AND(D412&gt;=31,D412&lt;=35),"31–35",
AND(D412&gt;=36,D412&lt;=40),"36–40",
AND(D412&gt;=41,D412&lt;=45),"41–45",
AND(D412&gt;=46,D412&lt;=50),"46–50",
AND(D412&gt;=51,D412&lt;=60),"51–60")</f>
        <v>31–35</v>
      </c>
    </row>
    <row r="413" spans="1:14" x14ac:dyDescent="0.35">
      <c r="A413" t="s">
        <v>836</v>
      </c>
      <c r="B413" t="s">
        <v>837</v>
      </c>
      <c r="C413" t="s">
        <v>14</v>
      </c>
      <c r="D413">
        <v>31</v>
      </c>
      <c r="E413" t="s">
        <v>92</v>
      </c>
      <c r="F413" t="s">
        <v>59</v>
      </c>
      <c r="G413" t="s">
        <v>53</v>
      </c>
      <c r="H413" s="1">
        <v>45527</v>
      </c>
      <c r="J413">
        <v>830000</v>
      </c>
      <c r="K413">
        <v>0</v>
      </c>
      <c r="L413" t="s">
        <v>24</v>
      </c>
      <c r="M413">
        <f ca="1">IF(ISBLANK(Table1[[#This Row],[Exit]]),DATEDIF(Table1[[#This Row],[Hire]],TODAY(),"Y"),DATEDIF(Table1[[#This Row],[Hire]],Table1[[#This Row],[Exit]],"Y"))</f>
        <v>1</v>
      </c>
      <c r="N413" t="str" cm="1">
        <f t="array" ref="N413">_xlfn.IFS(
AND(D413&gt;=26,D413&lt;=30),"26–30",
AND(D413&gt;=31,D413&lt;=35),"31–35",
AND(D413&gt;=36,D413&lt;=40),"36–40",
AND(D413&gt;=41,D413&lt;=45),"41–45",
AND(D413&gt;=46,D413&lt;=50),"46–50",
AND(D413&gt;=51,D413&lt;=60),"51–60")</f>
        <v>31–35</v>
      </c>
    </row>
    <row r="414" spans="1:14" x14ac:dyDescent="0.35">
      <c r="A414" t="s">
        <v>838</v>
      </c>
      <c r="B414" t="s">
        <v>839</v>
      </c>
      <c r="C414" t="s">
        <v>14</v>
      </c>
      <c r="D414">
        <v>36</v>
      </c>
      <c r="E414" t="s">
        <v>81</v>
      </c>
      <c r="F414" t="s">
        <v>46</v>
      </c>
      <c r="G414" t="s">
        <v>23</v>
      </c>
      <c r="H414" s="1">
        <v>45237</v>
      </c>
      <c r="J414">
        <v>832000</v>
      </c>
      <c r="K414">
        <v>0</v>
      </c>
      <c r="L414" t="s">
        <v>24</v>
      </c>
      <c r="M414">
        <f ca="1">IF(ISBLANK(Table1[[#This Row],[Exit]]),DATEDIF(Table1[[#This Row],[Hire]],TODAY(),"Y"),DATEDIF(Table1[[#This Row],[Hire]],Table1[[#This Row],[Exit]],"Y"))</f>
        <v>2</v>
      </c>
      <c r="N414" t="str" cm="1">
        <f t="array" ref="N414">_xlfn.IFS(
AND(D414&gt;=26,D414&lt;=30),"26–30",
AND(D414&gt;=31,D414&lt;=35),"31–35",
AND(D414&gt;=36,D414&lt;=40),"36–40",
AND(D414&gt;=41,D414&lt;=45),"41–45",
AND(D414&gt;=46,D414&lt;=50),"46–50",
AND(D414&gt;=51,D414&lt;=60),"51–60")</f>
        <v>36–40</v>
      </c>
    </row>
    <row r="415" spans="1:14" x14ac:dyDescent="0.35">
      <c r="A415" t="s">
        <v>840</v>
      </c>
      <c r="B415" t="s">
        <v>841</v>
      </c>
      <c r="C415" t="s">
        <v>21</v>
      </c>
      <c r="D415">
        <v>45</v>
      </c>
      <c r="E415" t="s">
        <v>22</v>
      </c>
      <c r="F415" t="s">
        <v>16</v>
      </c>
      <c r="G415" t="s">
        <v>34</v>
      </c>
      <c r="H415" s="1">
        <v>45206</v>
      </c>
      <c r="J415">
        <v>834000</v>
      </c>
      <c r="K415">
        <v>0.09</v>
      </c>
      <c r="L415" t="s">
        <v>24</v>
      </c>
      <c r="M415">
        <f ca="1">IF(ISBLANK(Table1[[#This Row],[Exit]]),DATEDIF(Table1[[#This Row],[Hire]],TODAY(),"Y"),DATEDIF(Table1[[#This Row],[Hire]],Table1[[#This Row],[Exit]],"Y"))</f>
        <v>2</v>
      </c>
      <c r="N415" t="str" cm="1">
        <f t="array" ref="N415">_xlfn.IFS(
AND(D415&gt;=26,D415&lt;=30),"26–30",
AND(D415&gt;=31,D415&lt;=35),"31–35",
AND(D415&gt;=36,D415&lt;=40),"36–40",
AND(D415&gt;=41,D415&lt;=45),"41–45",
AND(D415&gt;=46,D415&lt;=50),"46–50",
AND(D415&gt;=51,D415&lt;=60),"51–60")</f>
        <v>41–45</v>
      </c>
    </row>
    <row r="416" spans="1:14" x14ac:dyDescent="0.35">
      <c r="A416" t="s">
        <v>842</v>
      </c>
      <c r="B416" t="s">
        <v>843</v>
      </c>
      <c r="C416" t="s">
        <v>21</v>
      </c>
      <c r="D416">
        <v>37</v>
      </c>
      <c r="E416" t="s">
        <v>92</v>
      </c>
      <c r="F416" t="s">
        <v>59</v>
      </c>
      <c r="G416" t="s">
        <v>34</v>
      </c>
      <c r="H416" s="1">
        <v>44677</v>
      </c>
      <c r="J416">
        <v>836000</v>
      </c>
      <c r="K416">
        <v>0.09</v>
      </c>
      <c r="L416" t="s">
        <v>24</v>
      </c>
      <c r="M416">
        <f ca="1">IF(ISBLANK(Table1[[#This Row],[Exit]]),DATEDIF(Table1[[#This Row],[Hire]],TODAY(),"Y"),DATEDIF(Table1[[#This Row],[Hire]],Table1[[#This Row],[Exit]],"Y"))</f>
        <v>3</v>
      </c>
      <c r="N416" t="str" cm="1">
        <f t="array" ref="N416">_xlfn.IFS(
AND(D416&gt;=26,D416&lt;=30),"26–30",
AND(D416&gt;=31,D416&lt;=35),"31–35",
AND(D416&gt;=36,D416&lt;=40),"36–40",
AND(D416&gt;=41,D416&lt;=45),"41–45",
AND(D416&gt;=46,D416&lt;=50),"46–50",
AND(D416&gt;=51,D416&lt;=60),"51–60")</f>
        <v>36–40</v>
      </c>
    </row>
    <row r="417" spans="1:14" x14ac:dyDescent="0.35">
      <c r="A417" t="s">
        <v>844</v>
      </c>
      <c r="B417" t="s">
        <v>845</v>
      </c>
      <c r="C417" t="s">
        <v>21</v>
      </c>
      <c r="D417">
        <v>38</v>
      </c>
      <c r="E417" t="s">
        <v>31</v>
      </c>
      <c r="F417" t="s">
        <v>16</v>
      </c>
      <c r="G417" t="s">
        <v>17</v>
      </c>
      <c r="H417" s="1">
        <v>43889</v>
      </c>
      <c r="J417">
        <v>838000</v>
      </c>
      <c r="K417">
        <v>0</v>
      </c>
      <c r="L417" t="s">
        <v>24</v>
      </c>
      <c r="M417">
        <f ca="1">IF(ISBLANK(Table1[[#This Row],[Exit]]),DATEDIF(Table1[[#This Row],[Hire]],TODAY(),"Y"),DATEDIF(Table1[[#This Row],[Hire]],Table1[[#This Row],[Exit]],"Y"))</f>
        <v>5</v>
      </c>
      <c r="N417" t="str" cm="1">
        <f t="array" ref="N417">_xlfn.IFS(
AND(D417&gt;=26,D417&lt;=30),"26–30",
AND(D417&gt;=31,D417&lt;=35),"31–35",
AND(D417&gt;=36,D417&lt;=40),"36–40",
AND(D417&gt;=41,D417&lt;=45),"41–45",
AND(D417&gt;=46,D417&lt;=50),"46–50",
AND(D417&gt;=51,D417&lt;=60),"51–60")</f>
        <v>36–40</v>
      </c>
    </row>
    <row r="418" spans="1:14" x14ac:dyDescent="0.35">
      <c r="A418" t="s">
        <v>846</v>
      </c>
      <c r="B418" t="s">
        <v>847</v>
      </c>
      <c r="C418" t="s">
        <v>21</v>
      </c>
      <c r="D418">
        <v>45</v>
      </c>
      <c r="E418" t="s">
        <v>15</v>
      </c>
      <c r="F418" t="s">
        <v>16</v>
      </c>
      <c r="G418" t="s">
        <v>17</v>
      </c>
      <c r="H418" s="1">
        <v>44116</v>
      </c>
      <c r="J418">
        <v>840000</v>
      </c>
      <c r="K418">
        <v>0</v>
      </c>
      <c r="L418" t="s">
        <v>24</v>
      </c>
      <c r="M418">
        <f ca="1">IF(ISBLANK(Table1[[#This Row],[Exit]]),DATEDIF(Table1[[#This Row],[Hire]],TODAY(),"Y"),DATEDIF(Table1[[#This Row],[Hire]],Table1[[#This Row],[Exit]],"Y"))</f>
        <v>5</v>
      </c>
      <c r="N418" t="str" cm="1">
        <f t="array" ref="N418">_xlfn.IFS(
AND(D418&gt;=26,D418&lt;=30),"26–30",
AND(D418&gt;=31,D418&lt;=35),"31–35",
AND(D418&gt;=36,D418&lt;=40),"36–40",
AND(D418&gt;=41,D418&lt;=45),"41–45",
AND(D418&gt;=46,D418&lt;=50),"46–50",
AND(D418&gt;=51,D418&lt;=60),"51–60")</f>
        <v>41–45</v>
      </c>
    </row>
    <row r="419" spans="1:14" x14ac:dyDescent="0.35">
      <c r="A419" t="s">
        <v>848</v>
      </c>
      <c r="B419" t="s">
        <v>849</v>
      </c>
      <c r="C419" t="s">
        <v>14</v>
      </c>
      <c r="D419">
        <v>51</v>
      </c>
      <c r="E419" t="s">
        <v>22</v>
      </c>
      <c r="F419" t="s">
        <v>16</v>
      </c>
      <c r="G419" t="s">
        <v>23</v>
      </c>
      <c r="H419" s="1">
        <v>44588</v>
      </c>
      <c r="J419">
        <v>842000</v>
      </c>
      <c r="K419">
        <v>0.36</v>
      </c>
      <c r="L419" t="s">
        <v>24</v>
      </c>
      <c r="M419">
        <f ca="1">IF(ISBLANK(Table1[[#This Row],[Exit]]),DATEDIF(Table1[[#This Row],[Hire]],TODAY(),"Y"),DATEDIF(Table1[[#This Row],[Hire]],Table1[[#This Row],[Exit]],"Y"))</f>
        <v>4</v>
      </c>
      <c r="N419" t="str" cm="1">
        <f t="array" ref="N419">_xlfn.IFS(
AND(D419&gt;=26,D419&lt;=30),"26–30",
AND(D419&gt;=31,D419&lt;=35),"31–35",
AND(D419&gt;=36,D419&lt;=40),"36–40",
AND(D419&gt;=41,D419&lt;=45),"41–45",
AND(D419&gt;=46,D419&lt;=50),"46–50",
AND(D419&gt;=51,D419&lt;=60),"51–60")</f>
        <v>51–60</v>
      </c>
    </row>
    <row r="420" spans="1:14" x14ac:dyDescent="0.35">
      <c r="A420" t="s">
        <v>850</v>
      </c>
      <c r="B420" t="s">
        <v>851</v>
      </c>
      <c r="C420" t="s">
        <v>14</v>
      </c>
      <c r="D420">
        <v>56</v>
      </c>
      <c r="E420" t="s">
        <v>27</v>
      </c>
      <c r="F420" t="s">
        <v>28</v>
      </c>
      <c r="G420" t="s">
        <v>17</v>
      </c>
      <c r="H420" s="1">
        <v>45337</v>
      </c>
      <c r="J420">
        <v>844000</v>
      </c>
      <c r="K420">
        <v>0</v>
      </c>
      <c r="L420" t="s">
        <v>24</v>
      </c>
      <c r="M420">
        <f ca="1">IF(ISBLANK(Table1[[#This Row],[Exit]]),DATEDIF(Table1[[#This Row],[Hire]],TODAY(),"Y"),DATEDIF(Table1[[#This Row],[Hire]],Table1[[#This Row],[Exit]],"Y"))</f>
        <v>1</v>
      </c>
      <c r="N420" t="str" cm="1">
        <f t="array" ref="N420">_xlfn.IFS(
AND(D420&gt;=26,D420&lt;=30),"26–30",
AND(D420&gt;=31,D420&lt;=35),"31–35",
AND(D420&gt;=36,D420&lt;=40),"36–40",
AND(D420&gt;=41,D420&lt;=45),"41–45",
AND(D420&gt;=46,D420&lt;=50),"46–50",
AND(D420&gt;=51,D420&lt;=60),"51–60")</f>
        <v>51–60</v>
      </c>
    </row>
    <row r="421" spans="1:14" x14ac:dyDescent="0.35">
      <c r="A421" t="s">
        <v>852</v>
      </c>
      <c r="B421" t="s">
        <v>853</v>
      </c>
      <c r="C421" t="s">
        <v>14</v>
      </c>
      <c r="D421">
        <v>53</v>
      </c>
      <c r="E421" t="s">
        <v>31</v>
      </c>
      <c r="F421" t="s">
        <v>16</v>
      </c>
      <c r="G421" t="s">
        <v>23</v>
      </c>
      <c r="H421" s="1">
        <v>45332</v>
      </c>
      <c r="J421">
        <v>846000</v>
      </c>
      <c r="K421">
        <v>0</v>
      </c>
      <c r="L421" t="s">
        <v>24</v>
      </c>
      <c r="M421">
        <f ca="1">IF(ISBLANK(Table1[[#This Row],[Exit]]),DATEDIF(Table1[[#This Row],[Hire]],TODAY(),"Y"),DATEDIF(Table1[[#This Row],[Hire]],Table1[[#This Row],[Exit]],"Y"))</f>
        <v>1</v>
      </c>
      <c r="N421" t="str" cm="1">
        <f t="array" ref="N421">_xlfn.IFS(
AND(D421&gt;=26,D421&lt;=30),"26–30",
AND(D421&gt;=31,D421&lt;=35),"31–35",
AND(D421&gt;=36,D421&lt;=40),"36–40",
AND(D421&gt;=41,D421&lt;=45),"41–45",
AND(D421&gt;=46,D421&lt;=50),"46–50",
AND(D421&gt;=51,D421&lt;=60),"51–60")</f>
        <v>51–60</v>
      </c>
    </row>
    <row r="422" spans="1:14" x14ac:dyDescent="0.35">
      <c r="A422" t="s">
        <v>854</v>
      </c>
      <c r="B422" t="s">
        <v>855</v>
      </c>
      <c r="C422" t="s">
        <v>14</v>
      </c>
      <c r="D422">
        <v>47</v>
      </c>
      <c r="E422" t="s">
        <v>27</v>
      </c>
      <c r="F422" t="s">
        <v>28</v>
      </c>
      <c r="G422" t="s">
        <v>34</v>
      </c>
      <c r="H422" s="1">
        <v>44183</v>
      </c>
      <c r="J422">
        <v>848000</v>
      </c>
      <c r="K422">
        <v>0</v>
      </c>
      <c r="L422" t="s">
        <v>24</v>
      </c>
      <c r="M422">
        <f ca="1">IF(ISBLANK(Table1[[#This Row],[Exit]]),DATEDIF(Table1[[#This Row],[Hire]],TODAY(),"Y"),DATEDIF(Table1[[#This Row],[Hire]],Table1[[#This Row],[Exit]],"Y"))</f>
        <v>5</v>
      </c>
      <c r="N422" t="str" cm="1">
        <f t="array" ref="N422">_xlfn.IFS(
AND(D422&gt;=26,D422&lt;=30),"26–30",
AND(D422&gt;=31,D422&lt;=35),"31–35",
AND(D422&gt;=36,D422&lt;=40),"36–40",
AND(D422&gt;=41,D422&lt;=45),"41–45",
AND(D422&gt;=46,D422&lt;=50),"46–50",
AND(D422&gt;=51,D422&lt;=60),"51–60")</f>
        <v>46–50</v>
      </c>
    </row>
    <row r="423" spans="1:14" x14ac:dyDescent="0.35">
      <c r="A423" t="s">
        <v>856</v>
      </c>
      <c r="B423" t="s">
        <v>857</v>
      </c>
      <c r="C423" t="s">
        <v>14</v>
      </c>
      <c r="D423">
        <v>36</v>
      </c>
      <c r="E423" t="s">
        <v>15</v>
      </c>
      <c r="F423" t="s">
        <v>16</v>
      </c>
      <c r="G423" t="s">
        <v>23</v>
      </c>
      <c r="H423" s="1">
        <v>43837</v>
      </c>
      <c r="J423">
        <v>850000</v>
      </c>
      <c r="K423">
        <v>0</v>
      </c>
      <c r="L423" t="s">
        <v>24</v>
      </c>
      <c r="M423">
        <f ca="1">IF(ISBLANK(Table1[[#This Row],[Exit]]),DATEDIF(Table1[[#This Row],[Hire]],TODAY(),"Y"),DATEDIF(Table1[[#This Row],[Hire]],Table1[[#This Row],[Exit]],"Y"))</f>
        <v>6</v>
      </c>
      <c r="N423" t="str" cm="1">
        <f t="array" ref="N423">_xlfn.IFS(
AND(D423&gt;=26,D423&lt;=30),"26–30",
AND(D423&gt;=31,D423&lt;=35),"31–35",
AND(D423&gt;=36,D423&lt;=40),"36–40",
AND(D423&gt;=41,D423&lt;=45),"41–45",
AND(D423&gt;=46,D423&lt;=50),"46–50",
AND(D423&gt;=51,D423&lt;=60),"51–60")</f>
        <v>36–40</v>
      </c>
    </row>
    <row r="424" spans="1:14" x14ac:dyDescent="0.35">
      <c r="A424" t="s">
        <v>858</v>
      </c>
      <c r="B424" t="s">
        <v>859</v>
      </c>
      <c r="C424" t="s">
        <v>355</v>
      </c>
      <c r="D424">
        <v>41</v>
      </c>
      <c r="E424" t="s">
        <v>15</v>
      </c>
      <c r="F424" t="s">
        <v>16</v>
      </c>
      <c r="G424" t="s">
        <v>34</v>
      </c>
      <c r="H424" s="1">
        <v>45206</v>
      </c>
      <c r="J424">
        <v>852000</v>
      </c>
      <c r="K424">
        <v>0.38</v>
      </c>
      <c r="L424" t="s">
        <v>24</v>
      </c>
      <c r="M424">
        <f ca="1">IF(ISBLANK(Table1[[#This Row],[Exit]]),DATEDIF(Table1[[#This Row],[Hire]],TODAY(),"Y"),DATEDIF(Table1[[#This Row],[Hire]],Table1[[#This Row],[Exit]],"Y"))</f>
        <v>2</v>
      </c>
      <c r="N424" t="str" cm="1">
        <f t="array" ref="N424">_xlfn.IFS(
AND(D424&gt;=26,D424&lt;=30),"26–30",
AND(D424&gt;=31,D424&lt;=35),"31–35",
AND(D424&gt;=36,D424&lt;=40),"36–40",
AND(D424&gt;=41,D424&lt;=45),"41–45",
AND(D424&gt;=46,D424&lt;=50),"46–50",
AND(D424&gt;=51,D424&lt;=60),"51–60")</f>
        <v>41–45</v>
      </c>
    </row>
    <row r="425" spans="1:14" x14ac:dyDescent="0.35">
      <c r="A425" t="s">
        <v>860</v>
      </c>
      <c r="B425" t="s">
        <v>861</v>
      </c>
      <c r="C425" t="s">
        <v>14</v>
      </c>
      <c r="D425">
        <v>31</v>
      </c>
      <c r="E425" t="s">
        <v>42</v>
      </c>
      <c r="F425" t="s">
        <v>43</v>
      </c>
      <c r="G425" t="s">
        <v>34</v>
      </c>
      <c r="H425" s="1">
        <v>44487</v>
      </c>
      <c r="J425">
        <v>854000</v>
      </c>
      <c r="K425">
        <v>0.15</v>
      </c>
      <c r="L425" t="s">
        <v>24</v>
      </c>
      <c r="M425">
        <f ca="1">IF(ISBLANK(Table1[[#This Row],[Exit]]),DATEDIF(Table1[[#This Row],[Hire]],TODAY(),"Y"),DATEDIF(Table1[[#This Row],[Hire]],Table1[[#This Row],[Exit]],"Y"))</f>
        <v>4</v>
      </c>
      <c r="N425" t="str" cm="1">
        <f t="array" ref="N425">_xlfn.IFS(
AND(D425&gt;=26,D425&lt;=30),"26–30",
AND(D425&gt;=31,D425&lt;=35),"31–35",
AND(D425&gt;=36,D425&lt;=40),"36–40",
AND(D425&gt;=41,D425&lt;=45),"41–45",
AND(D425&gt;=46,D425&lt;=50),"46–50",
AND(D425&gt;=51,D425&lt;=60),"51–60")</f>
        <v>31–35</v>
      </c>
    </row>
    <row r="426" spans="1:14" x14ac:dyDescent="0.35">
      <c r="A426" t="s">
        <v>862</v>
      </c>
      <c r="B426" t="s">
        <v>863</v>
      </c>
      <c r="C426" t="s">
        <v>14</v>
      </c>
      <c r="D426">
        <v>31</v>
      </c>
      <c r="E426" t="s">
        <v>42</v>
      </c>
      <c r="F426" t="s">
        <v>46</v>
      </c>
      <c r="G426" t="s">
        <v>23</v>
      </c>
      <c r="H426" s="1">
        <v>44791</v>
      </c>
      <c r="J426">
        <v>856000</v>
      </c>
      <c r="K426">
        <v>0.1</v>
      </c>
      <c r="L426" t="s">
        <v>24</v>
      </c>
      <c r="M426">
        <f ca="1">IF(ISBLANK(Table1[[#This Row],[Exit]]),DATEDIF(Table1[[#This Row],[Hire]],TODAY(),"Y"),DATEDIF(Table1[[#This Row],[Hire]],Table1[[#This Row],[Exit]],"Y"))</f>
        <v>3</v>
      </c>
      <c r="N426" t="str" cm="1">
        <f t="array" ref="N426">_xlfn.IFS(
AND(D426&gt;=26,D426&lt;=30),"26–30",
AND(D426&gt;=31,D426&lt;=35),"31–35",
AND(D426&gt;=36,D426&lt;=40),"36–40",
AND(D426&gt;=41,D426&lt;=45),"41–45",
AND(D426&gt;=46,D426&lt;=50),"46–50",
AND(D426&gt;=51,D426&lt;=60),"51–60")</f>
        <v>31–35</v>
      </c>
    </row>
    <row r="427" spans="1:14" x14ac:dyDescent="0.35">
      <c r="A427" t="s">
        <v>864</v>
      </c>
      <c r="B427" t="s">
        <v>865</v>
      </c>
      <c r="C427" t="s">
        <v>14</v>
      </c>
      <c r="D427">
        <v>38</v>
      </c>
      <c r="E427" t="s">
        <v>42</v>
      </c>
      <c r="F427" t="s">
        <v>49</v>
      </c>
      <c r="G427" t="s">
        <v>17</v>
      </c>
      <c r="H427" s="1">
        <v>45440</v>
      </c>
      <c r="J427">
        <v>858000</v>
      </c>
      <c r="K427">
        <v>0.15</v>
      </c>
      <c r="L427" t="s">
        <v>24</v>
      </c>
      <c r="M427">
        <f ca="1">IF(ISBLANK(Table1[[#This Row],[Exit]]),DATEDIF(Table1[[#This Row],[Hire]],TODAY(),"Y"),DATEDIF(Table1[[#This Row],[Hire]],Table1[[#This Row],[Exit]],"Y"))</f>
        <v>1</v>
      </c>
      <c r="N427" t="str" cm="1">
        <f t="array" ref="N427">_xlfn.IFS(
AND(D427&gt;=26,D427&lt;=30),"26–30",
AND(D427&gt;=31,D427&lt;=35),"31–35",
AND(D427&gt;=36,D427&lt;=40),"36–40",
AND(D427&gt;=41,D427&lt;=45),"41–45",
AND(D427&gt;=46,D427&lt;=50),"46–50",
AND(D427&gt;=51,D427&lt;=60),"51–60")</f>
        <v>36–40</v>
      </c>
    </row>
    <row r="428" spans="1:14" x14ac:dyDescent="0.35">
      <c r="A428" t="s">
        <v>622</v>
      </c>
      <c r="B428" t="s">
        <v>866</v>
      </c>
      <c r="C428" t="s">
        <v>14</v>
      </c>
      <c r="D428">
        <v>28</v>
      </c>
      <c r="E428" t="s">
        <v>52</v>
      </c>
      <c r="F428" t="s">
        <v>16</v>
      </c>
      <c r="G428" t="s">
        <v>53</v>
      </c>
      <c r="H428" s="1">
        <v>44811</v>
      </c>
      <c r="I428" s="1">
        <v>45412</v>
      </c>
      <c r="J428">
        <v>860000</v>
      </c>
      <c r="K428">
        <v>0.05</v>
      </c>
      <c r="L428" t="s">
        <v>18</v>
      </c>
      <c r="M428">
        <f ca="1">IF(ISBLANK(Table1[[#This Row],[Exit]]),DATEDIF(Table1[[#This Row],[Hire]],TODAY(),"Y"),DATEDIF(Table1[[#This Row],[Hire]],Table1[[#This Row],[Exit]],"Y"))</f>
        <v>1</v>
      </c>
      <c r="N428" t="str" cm="1">
        <f t="array" ref="N428">_xlfn.IFS(
AND(D428&gt;=26,D428&lt;=30),"26–30",
AND(D428&gt;=31,D428&lt;=35),"31–35",
AND(D428&gt;=36,D428&lt;=40),"36–40",
AND(D428&gt;=41,D428&lt;=45),"41–45",
AND(D428&gt;=46,D428&lt;=50),"46–50",
AND(D428&gt;=51,D428&lt;=60),"51–60")</f>
        <v>26–30</v>
      </c>
    </row>
    <row r="429" spans="1:14" x14ac:dyDescent="0.35">
      <c r="A429" t="s">
        <v>867</v>
      </c>
      <c r="B429" t="s">
        <v>868</v>
      </c>
      <c r="C429" t="s">
        <v>14</v>
      </c>
      <c r="D429">
        <v>39</v>
      </c>
      <c r="E429" t="s">
        <v>42</v>
      </c>
      <c r="F429" t="s">
        <v>46</v>
      </c>
      <c r="G429" t="s">
        <v>53</v>
      </c>
      <c r="H429" s="1">
        <v>45294</v>
      </c>
      <c r="J429">
        <v>862000</v>
      </c>
      <c r="K429">
        <v>0</v>
      </c>
      <c r="L429" t="s">
        <v>24</v>
      </c>
      <c r="M429">
        <f ca="1">IF(ISBLANK(Table1[[#This Row],[Exit]]),DATEDIF(Table1[[#This Row],[Hire]],TODAY(),"Y"),DATEDIF(Table1[[#This Row],[Hire]],Table1[[#This Row],[Exit]],"Y"))</f>
        <v>2</v>
      </c>
      <c r="N429" t="str" cm="1">
        <f t="array" ref="N429">_xlfn.IFS(
AND(D429&gt;=26,D429&lt;=30),"26–30",
AND(D429&gt;=31,D429&lt;=35),"31–35",
AND(D429&gt;=36,D429&lt;=40),"36–40",
AND(D429&gt;=41,D429&lt;=45),"41–45",
AND(D429&gt;=46,D429&lt;=50),"46–50",
AND(D429&gt;=51,D429&lt;=60),"51–60")</f>
        <v>36–40</v>
      </c>
    </row>
    <row r="430" spans="1:14" x14ac:dyDescent="0.35">
      <c r="A430" t="s">
        <v>869</v>
      </c>
      <c r="B430" t="s">
        <v>870</v>
      </c>
      <c r="C430" t="s">
        <v>21</v>
      </c>
      <c r="D430">
        <v>31</v>
      </c>
      <c r="E430" t="s">
        <v>58</v>
      </c>
      <c r="F430" t="s">
        <v>59</v>
      </c>
      <c r="G430" t="s">
        <v>34</v>
      </c>
      <c r="H430" s="1">
        <v>45074</v>
      </c>
      <c r="J430">
        <v>864000</v>
      </c>
      <c r="K430">
        <v>0.18</v>
      </c>
      <c r="L430" t="s">
        <v>24</v>
      </c>
      <c r="M430">
        <f ca="1">IF(ISBLANK(Table1[[#This Row],[Exit]]),DATEDIF(Table1[[#This Row],[Hire]],TODAY(),"Y"),DATEDIF(Table1[[#This Row],[Hire]],Table1[[#This Row],[Exit]],"Y"))</f>
        <v>2</v>
      </c>
      <c r="N430" t="str" cm="1">
        <f t="array" ref="N430">_xlfn.IFS(
AND(D430&gt;=26,D430&lt;=30),"26–30",
AND(D430&gt;=31,D430&lt;=35),"31–35",
AND(D430&gt;=36,D430&lt;=40),"36–40",
AND(D430&gt;=41,D430&lt;=45),"41–45",
AND(D430&gt;=46,D430&lt;=50),"46–50",
AND(D430&gt;=51,D430&lt;=60),"51–60")</f>
        <v>31–35</v>
      </c>
    </row>
    <row r="431" spans="1:14" x14ac:dyDescent="0.35">
      <c r="A431" t="s">
        <v>871</v>
      </c>
      <c r="B431" t="s">
        <v>872</v>
      </c>
      <c r="C431" t="s">
        <v>21</v>
      </c>
      <c r="D431">
        <v>45</v>
      </c>
      <c r="E431" t="s">
        <v>52</v>
      </c>
      <c r="F431" t="s">
        <v>16</v>
      </c>
      <c r="G431" t="s">
        <v>23</v>
      </c>
      <c r="H431" s="1">
        <v>45245</v>
      </c>
      <c r="J431">
        <v>866000</v>
      </c>
      <c r="K431">
        <v>0</v>
      </c>
      <c r="L431" t="s">
        <v>24</v>
      </c>
      <c r="M431">
        <f ca="1">IF(ISBLANK(Table1[[#This Row],[Exit]]),DATEDIF(Table1[[#This Row],[Hire]],TODAY(),"Y"),DATEDIF(Table1[[#This Row],[Hire]],Table1[[#This Row],[Exit]],"Y"))</f>
        <v>2</v>
      </c>
      <c r="N431" t="str" cm="1">
        <f t="array" ref="N431">_xlfn.IFS(
AND(D431&gt;=26,D431&lt;=30),"26–30",
AND(D431&gt;=31,D431&lt;=35),"31–35",
AND(D431&gt;=36,D431&lt;=40),"36–40",
AND(D431&gt;=41,D431&lt;=45),"41–45",
AND(D431&gt;=46,D431&lt;=50),"46–50",
AND(D431&gt;=51,D431&lt;=60),"51–60")</f>
        <v>41–45</v>
      </c>
    </row>
    <row r="432" spans="1:14" x14ac:dyDescent="0.35">
      <c r="A432" t="s">
        <v>873</v>
      </c>
      <c r="B432" t="s">
        <v>874</v>
      </c>
      <c r="C432" t="s">
        <v>41</v>
      </c>
      <c r="D432">
        <v>50</v>
      </c>
      <c r="E432" t="s">
        <v>52</v>
      </c>
      <c r="F432" t="s">
        <v>16</v>
      </c>
      <c r="G432" t="s">
        <v>34</v>
      </c>
      <c r="H432" s="1">
        <v>43851</v>
      </c>
      <c r="J432">
        <v>868000</v>
      </c>
      <c r="K432">
        <v>0</v>
      </c>
      <c r="L432" t="s">
        <v>24</v>
      </c>
      <c r="M432">
        <f ca="1">IF(ISBLANK(Table1[[#This Row],[Exit]]),DATEDIF(Table1[[#This Row],[Hire]],TODAY(),"Y"),DATEDIF(Table1[[#This Row],[Hire]],Table1[[#This Row],[Exit]],"Y"))</f>
        <v>6</v>
      </c>
      <c r="N432" t="str" cm="1">
        <f t="array" ref="N432">_xlfn.IFS(
AND(D432&gt;=26,D432&lt;=30),"26–30",
AND(D432&gt;=31,D432&lt;=35),"31–35",
AND(D432&gt;=36,D432&lt;=40),"36–40",
AND(D432&gt;=41,D432&lt;=45),"41–45",
AND(D432&gt;=46,D432&lt;=50),"46–50",
AND(D432&gt;=51,D432&lt;=60),"51–60")</f>
        <v>46–50</v>
      </c>
    </row>
    <row r="433" spans="1:14" x14ac:dyDescent="0.35">
      <c r="A433" t="s">
        <v>875</v>
      </c>
      <c r="B433" t="s">
        <v>876</v>
      </c>
      <c r="C433" t="s">
        <v>14</v>
      </c>
      <c r="D433">
        <v>36</v>
      </c>
      <c r="E433" t="s">
        <v>66</v>
      </c>
      <c r="F433" t="s">
        <v>16</v>
      </c>
      <c r="G433" t="s">
        <v>17</v>
      </c>
      <c r="H433" s="1">
        <v>45206</v>
      </c>
      <c r="J433">
        <v>870000</v>
      </c>
      <c r="K433">
        <v>0.24</v>
      </c>
      <c r="L433" t="s">
        <v>24</v>
      </c>
      <c r="M433">
        <f ca="1">IF(ISBLANK(Table1[[#This Row],[Exit]]),DATEDIF(Table1[[#This Row],[Hire]],TODAY(),"Y"),DATEDIF(Table1[[#This Row],[Hire]],Table1[[#This Row],[Exit]],"Y"))</f>
        <v>2</v>
      </c>
      <c r="N433" t="str" cm="1">
        <f t="array" ref="N433">_xlfn.IFS(
AND(D433&gt;=26,D433&lt;=30),"26–30",
AND(D433&gt;=31,D433&lt;=35),"31–35",
AND(D433&gt;=36,D433&lt;=40),"36–40",
AND(D433&gt;=41,D433&lt;=45),"41–45",
AND(D433&gt;=46,D433&lt;=50),"46–50",
AND(D433&gt;=51,D433&lt;=60),"51–60")</f>
        <v>36–40</v>
      </c>
    </row>
    <row r="434" spans="1:14" x14ac:dyDescent="0.35">
      <c r="A434" t="s">
        <v>877</v>
      </c>
      <c r="B434" t="s">
        <v>878</v>
      </c>
      <c r="C434" t="s">
        <v>41</v>
      </c>
      <c r="D434">
        <v>45</v>
      </c>
      <c r="E434" t="s">
        <v>58</v>
      </c>
      <c r="F434" t="s">
        <v>59</v>
      </c>
      <c r="G434" t="s">
        <v>23</v>
      </c>
      <c r="H434" s="1">
        <v>43940</v>
      </c>
      <c r="I434" s="1">
        <v>45074</v>
      </c>
      <c r="J434">
        <v>872000</v>
      </c>
      <c r="K434">
        <v>0</v>
      </c>
      <c r="L434" t="s">
        <v>18</v>
      </c>
      <c r="M434">
        <f ca="1">IF(ISBLANK(Table1[[#This Row],[Exit]]),DATEDIF(Table1[[#This Row],[Hire]],TODAY(),"Y"),DATEDIF(Table1[[#This Row],[Hire]],Table1[[#This Row],[Exit]],"Y"))</f>
        <v>3</v>
      </c>
      <c r="N434" t="str" cm="1">
        <f t="array" ref="N434">_xlfn.IFS(
AND(D434&gt;=26,D434&lt;=30),"26–30",
AND(D434&gt;=31,D434&lt;=35),"31–35",
AND(D434&gt;=36,D434&lt;=40),"36–40",
AND(D434&gt;=41,D434&lt;=45),"41–45",
AND(D434&gt;=46,D434&lt;=50),"46–50",
AND(D434&gt;=51,D434&lt;=60),"51–60")</f>
        <v>41–45</v>
      </c>
    </row>
    <row r="435" spans="1:14" x14ac:dyDescent="0.35">
      <c r="A435" t="s">
        <v>879</v>
      </c>
      <c r="B435" t="s">
        <v>880</v>
      </c>
      <c r="C435" t="s">
        <v>14</v>
      </c>
      <c r="D435">
        <v>31</v>
      </c>
      <c r="E435" t="s">
        <v>66</v>
      </c>
      <c r="F435" t="s">
        <v>16</v>
      </c>
      <c r="G435" t="s">
        <v>34</v>
      </c>
      <c r="H435" s="1">
        <v>44083</v>
      </c>
      <c r="J435">
        <v>874000</v>
      </c>
      <c r="K435">
        <v>0.15</v>
      </c>
      <c r="L435" t="s">
        <v>24</v>
      </c>
      <c r="M435">
        <f ca="1">IF(ISBLANK(Table1[[#This Row],[Exit]]),DATEDIF(Table1[[#This Row],[Hire]],TODAY(),"Y"),DATEDIF(Table1[[#This Row],[Hire]],Table1[[#This Row],[Exit]],"Y"))</f>
        <v>5</v>
      </c>
      <c r="N435" t="str" cm="1">
        <f t="array" ref="N435">_xlfn.IFS(
AND(D435&gt;=26,D435&lt;=30),"26–30",
AND(D435&gt;=31,D435&lt;=35),"31–35",
AND(D435&gt;=36,D435&lt;=40),"36–40",
AND(D435&gt;=41,D435&lt;=45),"41–45",
AND(D435&gt;=46,D435&lt;=50),"46–50",
AND(D435&gt;=51,D435&lt;=60),"51–60")</f>
        <v>31–35</v>
      </c>
    </row>
    <row r="436" spans="1:14" x14ac:dyDescent="0.35">
      <c r="A436" t="s">
        <v>881</v>
      </c>
      <c r="B436" t="s">
        <v>882</v>
      </c>
      <c r="C436" t="s">
        <v>21</v>
      </c>
      <c r="D436">
        <v>41</v>
      </c>
      <c r="E436" t="s">
        <v>66</v>
      </c>
      <c r="F436" t="s">
        <v>16</v>
      </c>
      <c r="G436" t="s">
        <v>53</v>
      </c>
      <c r="H436" s="1">
        <v>45233</v>
      </c>
      <c r="J436">
        <v>876000</v>
      </c>
      <c r="K436">
        <v>0</v>
      </c>
      <c r="L436" t="s">
        <v>24</v>
      </c>
      <c r="M436">
        <f ca="1">IF(ISBLANK(Table1[[#This Row],[Exit]]),DATEDIF(Table1[[#This Row],[Hire]],TODAY(),"Y"),DATEDIF(Table1[[#This Row],[Hire]],Table1[[#This Row],[Exit]],"Y"))</f>
        <v>2</v>
      </c>
      <c r="N436" t="str" cm="1">
        <f t="array" ref="N436">_xlfn.IFS(
AND(D436&gt;=26,D436&lt;=30),"26–30",
AND(D436&gt;=31,D436&lt;=35),"31–35",
AND(D436&gt;=36,D436&lt;=40),"36–40",
AND(D436&gt;=41,D436&lt;=45),"41–45",
AND(D436&gt;=46,D436&lt;=50),"46–50",
AND(D436&gt;=51,D436&lt;=60),"51–60")</f>
        <v>41–45</v>
      </c>
    </row>
    <row r="437" spans="1:14" x14ac:dyDescent="0.35">
      <c r="A437" t="s">
        <v>883</v>
      </c>
      <c r="B437" t="s">
        <v>884</v>
      </c>
      <c r="C437" t="s">
        <v>21</v>
      </c>
      <c r="D437">
        <v>47</v>
      </c>
      <c r="E437" t="s">
        <v>58</v>
      </c>
      <c r="F437" t="s">
        <v>59</v>
      </c>
      <c r="G437" t="s">
        <v>53</v>
      </c>
      <c r="H437" s="1">
        <v>45412</v>
      </c>
      <c r="J437">
        <v>878000</v>
      </c>
      <c r="K437">
        <v>0.38</v>
      </c>
      <c r="L437" t="s">
        <v>24</v>
      </c>
      <c r="M437">
        <f ca="1">IF(ISBLANK(Table1[[#This Row],[Exit]]),DATEDIF(Table1[[#This Row],[Hire]],TODAY(),"Y"),DATEDIF(Table1[[#This Row],[Hire]],Table1[[#This Row],[Exit]],"Y"))</f>
        <v>1</v>
      </c>
      <c r="N437" t="str" cm="1">
        <f t="array" ref="N437">_xlfn.IFS(
AND(D437&gt;=26,D437&lt;=30),"26–30",
AND(D437&gt;=31,D437&lt;=35),"31–35",
AND(D437&gt;=36,D437&lt;=40),"36–40",
AND(D437&gt;=41,D437&lt;=45),"41–45",
AND(D437&gt;=46,D437&lt;=50),"46–50",
AND(D437&gt;=51,D437&lt;=60),"51–60")</f>
        <v>46–50</v>
      </c>
    </row>
    <row r="438" spans="1:14" x14ac:dyDescent="0.35">
      <c r="A438" t="s">
        <v>885</v>
      </c>
      <c r="B438" t="s">
        <v>886</v>
      </c>
      <c r="C438" t="s">
        <v>21</v>
      </c>
      <c r="D438">
        <v>38</v>
      </c>
      <c r="E438" t="s">
        <v>15</v>
      </c>
      <c r="F438" t="s">
        <v>16</v>
      </c>
      <c r="G438" t="s">
        <v>53</v>
      </c>
      <c r="H438" s="1">
        <v>43887</v>
      </c>
      <c r="J438">
        <v>880000</v>
      </c>
      <c r="K438">
        <v>0.3</v>
      </c>
      <c r="L438" t="s">
        <v>24</v>
      </c>
      <c r="M438">
        <f ca="1">IF(ISBLANK(Table1[[#This Row],[Exit]]),DATEDIF(Table1[[#This Row],[Hire]],TODAY(),"Y"),DATEDIF(Table1[[#This Row],[Hire]],Table1[[#This Row],[Exit]],"Y"))</f>
        <v>5</v>
      </c>
      <c r="N438" t="str" cm="1">
        <f t="array" ref="N438">_xlfn.IFS(
AND(D438&gt;=26,D438&lt;=30),"26–30",
AND(D438&gt;=31,D438&lt;=35),"31–35",
AND(D438&gt;=36,D438&lt;=40),"36–40",
AND(D438&gt;=41,D438&lt;=45),"41–45",
AND(D438&gt;=46,D438&lt;=50),"46–50",
AND(D438&gt;=51,D438&lt;=60),"51–60")</f>
        <v>36–40</v>
      </c>
    </row>
    <row r="439" spans="1:14" x14ac:dyDescent="0.35">
      <c r="A439" t="s">
        <v>887</v>
      </c>
      <c r="B439" t="s">
        <v>888</v>
      </c>
      <c r="C439" t="s">
        <v>21</v>
      </c>
      <c r="D439">
        <v>40</v>
      </c>
      <c r="E439" t="s">
        <v>22</v>
      </c>
      <c r="F439" t="s">
        <v>16</v>
      </c>
      <c r="G439" t="s">
        <v>53</v>
      </c>
      <c r="H439" s="1">
        <v>44815</v>
      </c>
      <c r="J439">
        <v>882000</v>
      </c>
      <c r="K439">
        <v>0.23</v>
      </c>
      <c r="L439" t="s">
        <v>24</v>
      </c>
      <c r="M439">
        <f ca="1">IF(ISBLANK(Table1[[#This Row],[Exit]]),DATEDIF(Table1[[#This Row],[Hire]],TODAY(),"Y"),DATEDIF(Table1[[#This Row],[Hire]],Table1[[#This Row],[Exit]],"Y"))</f>
        <v>3</v>
      </c>
      <c r="N439" t="str" cm="1">
        <f t="array" ref="N439">_xlfn.IFS(
AND(D439&gt;=26,D439&lt;=30),"26–30",
AND(D439&gt;=31,D439&lt;=35),"31–35",
AND(D439&gt;=36,D439&lt;=40),"36–40",
AND(D439&gt;=41,D439&lt;=45),"41–45",
AND(D439&gt;=46,D439&lt;=50),"46–50",
AND(D439&gt;=51,D439&lt;=60),"51–60")</f>
        <v>36–40</v>
      </c>
    </row>
    <row r="440" spans="1:14" x14ac:dyDescent="0.35">
      <c r="A440" t="s">
        <v>889</v>
      </c>
      <c r="B440" t="s">
        <v>890</v>
      </c>
      <c r="C440" t="s">
        <v>21</v>
      </c>
      <c r="D440">
        <v>45</v>
      </c>
      <c r="E440" t="s">
        <v>81</v>
      </c>
      <c r="F440" t="s">
        <v>43</v>
      </c>
      <c r="G440" t="s">
        <v>53</v>
      </c>
      <c r="H440" s="1">
        <v>45430</v>
      </c>
      <c r="J440">
        <v>884000</v>
      </c>
      <c r="K440">
        <v>0</v>
      </c>
      <c r="L440" t="s">
        <v>24</v>
      </c>
      <c r="M440">
        <f ca="1">IF(ISBLANK(Table1[[#This Row],[Exit]]),DATEDIF(Table1[[#This Row],[Hire]],TODAY(),"Y"),DATEDIF(Table1[[#This Row],[Hire]],Table1[[#This Row],[Exit]],"Y"))</f>
        <v>1</v>
      </c>
      <c r="N440" t="str" cm="1">
        <f t="array" ref="N440">_xlfn.IFS(
AND(D440&gt;=26,D440&lt;=30),"26–30",
AND(D440&gt;=31,D440&lt;=35),"31–35",
AND(D440&gt;=36,D440&lt;=40),"36–40",
AND(D440&gt;=41,D440&lt;=45),"41–45",
AND(D440&gt;=46,D440&lt;=50),"46–50",
AND(D440&gt;=51,D440&lt;=60),"51–60")</f>
        <v>41–45</v>
      </c>
    </row>
    <row r="441" spans="1:14" x14ac:dyDescent="0.35">
      <c r="A441" t="s">
        <v>891</v>
      </c>
      <c r="B441" t="s">
        <v>892</v>
      </c>
      <c r="C441" t="s">
        <v>14</v>
      </c>
      <c r="D441">
        <v>31</v>
      </c>
      <c r="E441" t="s">
        <v>52</v>
      </c>
      <c r="F441" t="s">
        <v>16</v>
      </c>
      <c r="G441" t="s">
        <v>17</v>
      </c>
      <c r="H441" s="1">
        <v>44509</v>
      </c>
      <c r="J441">
        <v>886000</v>
      </c>
      <c r="K441">
        <v>0</v>
      </c>
      <c r="L441" t="s">
        <v>24</v>
      </c>
      <c r="M441">
        <f ca="1">IF(ISBLANK(Table1[[#This Row],[Exit]]),DATEDIF(Table1[[#This Row],[Hire]],TODAY(),"Y"),DATEDIF(Table1[[#This Row],[Hire]],Table1[[#This Row],[Exit]],"Y"))</f>
        <v>4</v>
      </c>
      <c r="N441" t="str" cm="1">
        <f t="array" ref="N441">_xlfn.IFS(
AND(D441&gt;=26,D441&lt;=30),"26–30",
AND(D441&gt;=31,D441&lt;=35),"31–35",
AND(D441&gt;=36,D441&lt;=40),"36–40",
AND(D441&gt;=41,D441&lt;=45),"41–45",
AND(D441&gt;=46,D441&lt;=50),"46–50",
AND(D441&gt;=51,D441&lt;=60),"51–60")</f>
        <v>31–35</v>
      </c>
    </row>
    <row r="442" spans="1:14" x14ac:dyDescent="0.35">
      <c r="A442" t="s">
        <v>893</v>
      </c>
      <c r="B442" t="s">
        <v>894</v>
      </c>
      <c r="C442" t="s">
        <v>14</v>
      </c>
      <c r="D442">
        <v>35</v>
      </c>
      <c r="E442" t="s">
        <v>66</v>
      </c>
      <c r="F442" t="s">
        <v>16</v>
      </c>
      <c r="G442" t="s">
        <v>23</v>
      </c>
      <c r="H442" s="1">
        <v>43963</v>
      </c>
      <c r="J442">
        <v>888000</v>
      </c>
      <c r="K442">
        <v>0.24</v>
      </c>
      <c r="L442" t="s">
        <v>24</v>
      </c>
      <c r="M442">
        <f ca="1">IF(ISBLANK(Table1[[#This Row],[Exit]]),DATEDIF(Table1[[#This Row],[Hire]],TODAY(),"Y"),DATEDIF(Table1[[#This Row],[Hire]],Table1[[#This Row],[Exit]],"Y"))</f>
        <v>5</v>
      </c>
      <c r="N442" t="str" cm="1">
        <f t="array" ref="N442">_xlfn.IFS(
AND(D442&gt;=26,D442&lt;=30),"26–30",
AND(D442&gt;=31,D442&lt;=35),"31–35",
AND(D442&gt;=36,D442&lt;=40),"36–40",
AND(D442&gt;=41,D442&lt;=45),"41–45",
AND(D442&gt;=46,D442&lt;=50),"46–50",
AND(D442&gt;=51,D442&lt;=60),"51–60")</f>
        <v>31–35</v>
      </c>
    </row>
    <row r="443" spans="1:14" x14ac:dyDescent="0.35">
      <c r="A443" t="s">
        <v>895</v>
      </c>
      <c r="B443" t="s">
        <v>896</v>
      </c>
      <c r="C443" t="s">
        <v>41</v>
      </c>
      <c r="D443">
        <v>31</v>
      </c>
      <c r="E443" t="s">
        <v>31</v>
      </c>
      <c r="F443" t="s">
        <v>16</v>
      </c>
      <c r="G443" t="s">
        <v>53</v>
      </c>
      <c r="H443" s="1">
        <v>44815</v>
      </c>
      <c r="J443">
        <v>890000</v>
      </c>
      <c r="K443">
        <v>0</v>
      </c>
      <c r="L443" t="s">
        <v>24</v>
      </c>
      <c r="M443">
        <f ca="1">IF(ISBLANK(Table1[[#This Row],[Exit]]),DATEDIF(Table1[[#This Row],[Hire]],TODAY(),"Y"),DATEDIF(Table1[[#This Row],[Hire]],Table1[[#This Row],[Exit]],"Y"))</f>
        <v>3</v>
      </c>
      <c r="N443" t="str" cm="1">
        <f t="array" ref="N443">_xlfn.IFS(
AND(D443&gt;=26,D443&lt;=30),"26–30",
AND(D443&gt;=31,D443&lt;=35),"31–35",
AND(D443&gt;=36,D443&lt;=40),"36–40",
AND(D443&gt;=41,D443&lt;=45),"41–45",
AND(D443&gt;=46,D443&lt;=50),"46–50",
AND(D443&gt;=51,D443&lt;=60),"51–60")</f>
        <v>31–35</v>
      </c>
    </row>
    <row r="444" spans="1:14" x14ac:dyDescent="0.35">
      <c r="A444" t="s">
        <v>897</v>
      </c>
      <c r="B444" t="s">
        <v>898</v>
      </c>
      <c r="C444" t="s">
        <v>14</v>
      </c>
      <c r="D444">
        <v>35</v>
      </c>
      <c r="E444" t="s">
        <v>81</v>
      </c>
      <c r="F444" t="s">
        <v>49</v>
      </c>
      <c r="G444" t="s">
        <v>34</v>
      </c>
      <c r="H444" s="1">
        <v>44857</v>
      </c>
      <c r="J444">
        <v>892000</v>
      </c>
      <c r="K444">
        <v>0.08</v>
      </c>
      <c r="L444" t="s">
        <v>24</v>
      </c>
      <c r="M444">
        <f ca="1">IF(ISBLANK(Table1[[#This Row],[Exit]]),DATEDIF(Table1[[#This Row],[Hire]],TODAY(),"Y"),DATEDIF(Table1[[#This Row],[Hire]],Table1[[#This Row],[Exit]],"Y"))</f>
        <v>3</v>
      </c>
      <c r="N444" t="str" cm="1">
        <f t="array" ref="N444">_xlfn.IFS(
AND(D444&gt;=26,D444&lt;=30),"26–30",
AND(D444&gt;=31,D444&lt;=35),"31–35",
AND(D444&gt;=36,D444&lt;=40),"36–40",
AND(D444&gt;=41,D444&lt;=45),"41–45",
AND(D444&gt;=46,D444&lt;=50),"46–50",
AND(D444&gt;=51,D444&lt;=60),"51–60")</f>
        <v>31–35</v>
      </c>
    </row>
    <row r="445" spans="1:14" x14ac:dyDescent="0.35">
      <c r="A445" t="s">
        <v>50</v>
      </c>
      <c r="B445" t="s">
        <v>899</v>
      </c>
      <c r="C445" t="s">
        <v>21</v>
      </c>
      <c r="D445">
        <v>31</v>
      </c>
      <c r="E445" t="s">
        <v>92</v>
      </c>
      <c r="F445" t="s">
        <v>59</v>
      </c>
      <c r="G445" t="s">
        <v>53</v>
      </c>
      <c r="H445" s="1">
        <v>45527</v>
      </c>
      <c r="J445">
        <v>894000</v>
      </c>
      <c r="K445">
        <v>0</v>
      </c>
      <c r="L445" t="s">
        <v>24</v>
      </c>
      <c r="M445">
        <f ca="1">IF(ISBLANK(Table1[[#This Row],[Exit]]),DATEDIF(Table1[[#This Row],[Hire]],TODAY(),"Y"),DATEDIF(Table1[[#This Row],[Hire]],Table1[[#This Row],[Exit]],"Y"))</f>
        <v>1</v>
      </c>
      <c r="N445" t="str" cm="1">
        <f t="array" ref="N445">_xlfn.IFS(
AND(D445&gt;=26,D445&lt;=30),"26–30",
AND(D445&gt;=31,D445&lt;=35),"31–35",
AND(D445&gt;=36,D445&lt;=40),"36–40",
AND(D445&gt;=41,D445&lt;=45),"41–45",
AND(D445&gt;=46,D445&lt;=50),"46–50",
AND(D445&gt;=51,D445&lt;=60),"51–60")</f>
        <v>31–35</v>
      </c>
    </row>
    <row r="446" spans="1:14" x14ac:dyDescent="0.35">
      <c r="A446" t="s">
        <v>900</v>
      </c>
      <c r="B446" t="s">
        <v>901</v>
      </c>
      <c r="C446" t="s">
        <v>41</v>
      </c>
      <c r="D446">
        <v>31</v>
      </c>
      <c r="E446" t="s">
        <v>81</v>
      </c>
      <c r="F446" t="s">
        <v>46</v>
      </c>
      <c r="G446" t="s">
        <v>23</v>
      </c>
      <c r="H446" s="1">
        <v>45237</v>
      </c>
      <c r="J446">
        <v>896000</v>
      </c>
      <c r="K446">
        <v>0.12</v>
      </c>
      <c r="L446" t="s">
        <v>24</v>
      </c>
      <c r="M446">
        <f ca="1">IF(ISBLANK(Table1[[#This Row],[Exit]]),DATEDIF(Table1[[#This Row],[Hire]],TODAY(),"Y"),DATEDIF(Table1[[#This Row],[Hire]],Table1[[#This Row],[Exit]],"Y"))</f>
        <v>2</v>
      </c>
      <c r="N446" t="str" cm="1">
        <f t="array" ref="N446">_xlfn.IFS(
AND(D446&gt;=26,D446&lt;=30),"26–30",
AND(D446&gt;=31,D446&lt;=35),"31–35",
AND(D446&gt;=36,D446&lt;=40),"36–40",
AND(D446&gt;=41,D446&lt;=45),"41–45",
AND(D446&gt;=46,D446&lt;=50),"46–50",
AND(D446&gt;=51,D446&lt;=60),"51–60")</f>
        <v>31–35</v>
      </c>
    </row>
    <row r="447" spans="1:14" x14ac:dyDescent="0.35">
      <c r="A447" t="s">
        <v>902</v>
      </c>
      <c r="B447" t="s">
        <v>903</v>
      </c>
      <c r="C447" t="s">
        <v>14</v>
      </c>
      <c r="D447">
        <v>31</v>
      </c>
      <c r="E447" t="s">
        <v>22</v>
      </c>
      <c r="F447" t="s">
        <v>16</v>
      </c>
      <c r="G447" t="s">
        <v>34</v>
      </c>
      <c r="H447" s="1">
        <v>45206</v>
      </c>
      <c r="J447">
        <v>898000</v>
      </c>
      <c r="K447">
        <v>0</v>
      </c>
      <c r="L447" t="s">
        <v>24</v>
      </c>
      <c r="M447">
        <f ca="1">IF(ISBLANK(Table1[[#This Row],[Exit]]),DATEDIF(Table1[[#This Row],[Hire]],TODAY(),"Y"),DATEDIF(Table1[[#This Row],[Hire]],Table1[[#This Row],[Exit]],"Y"))</f>
        <v>2</v>
      </c>
      <c r="N447" t="str" cm="1">
        <f t="array" ref="N447">_xlfn.IFS(
AND(D447&gt;=26,D447&lt;=30),"26–30",
AND(D447&gt;=31,D447&lt;=35),"31–35",
AND(D447&gt;=36,D447&lt;=40),"36–40",
AND(D447&gt;=41,D447&lt;=45),"41–45",
AND(D447&gt;=46,D447&lt;=50),"46–50",
AND(D447&gt;=51,D447&lt;=60),"51–60")</f>
        <v>31–35</v>
      </c>
    </row>
    <row r="448" spans="1:14" x14ac:dyDescent="0.35">
      <c r="A448" t="s">
        <v>904</v>
      </c>
      <c r="B448" t="s">
        <v>905</v>
      </c>
      <c r="C448" t="s">
        <v>21</v>
      </c>
      <c r="D448">
        <v>31</v>
      </c>
      <c r="E448" t="s">
        <v>92</v>
      </c>
      <c r="F448" t="s">
        <v>59</v>
      </c>
      <c r="G448" t="s">
        <v>34</v>
      </c>
      <c r="H448" s="1">
        <v>44677</v>
      </c>
      <c r="J448">
        <v>900000</v>
      </c>
      <c r="K448">
        <v>0</v>
      </c>
      <c r="L448" t="s">
        <v>24</v>
      </c>
      <c r="M448">
        <f ca="1">IF(ISBLANK(Table1[[#This Row],[Exit]]),DATEDIF(Table1[[#This Row],[Hire]],TODAY(),"Y"),DATEDIF(Table1[[#This Row],[Hire]],Table1[[#This Row],[Exit]],"Y"))</f>
        <v>3</v>
      </c>
      <c r="N448" t="str" cm="1">
        <f t="array" ref="N448">_xlfn.IFS(
AND(D448&gt;=26,D448&lt;=30),"26–30",
AND(D448&gt;=31,D448&lt;=35),"31–35",
AND(D448&gt;=36,D448&lt;=40),"36–40",
AND(D448&gt;=41,D448&lt;=45),"41–45",
AND(D448&gt;=46,D448&lt;=50),"46–50",
AND(D448&gt;=51,D448&lt;=60),"51–60")</f>
        <v>31–35</v>
      </c>
    </row>
    <row r="449" spans="1:14" x14ac:dyDescent="0.35">
      <c r="A449" t="s">
        <v>906</v>
      </c>
      <c r="B449" t="s">
        <v>907</v>
      </c>
      <c r="C449" t="s">
        <v>21</v>
      </c>
      <c r="D449">
        <v>36</v>
      </c>
      <c r="E449" t="s">
        <v>31</v>
      </c>
      <c r="F449" t="s">
        <v>16</v>
      </c>
      <c r="G449" t="s">
        <v>17</v>
      </c>
      <c r="H449" s="1">
        <v>43889</v>
      </c>
      <c r="J449">
        <v>902000</v>
      </c>
      <c r="K449">
        <v>0</v>
      </c>
      <c r="L449" t="s">
        <v>24</v>
      </c>
      <c r="M449">
        <f ca="1">IF(ISBLANK(Table1[[#This Row],[Exit]]),DATEDIF(Table1[[#This Row],[Hire]],TODAY(),"Y"),DATEDIF(Table1[[#This Row],[Hire]],Table1[[#This Row],[Exit]],"Y"))</f>
        <v>5</v>
      </c>
      <c r="N449" t="str" cm="1">
        <f t="array" ref="N449">_xlfn.IFS(
AND(D449&gt;=26,D449&lt;=30),"26–30",
AND(D449&gt;=31,D449&lt;=35),"31–35",
AND(D449&gt;=36,D449&lt;=40),"36–40",
AND(D449&gt;=41,D449&lt;=45),"41–45",
AND(D449&gt;=46,D449&lt;=50),"46–50",
AND(D449&gt;=51,D449&lt;=60),"51–60")</f>
        <v>36–40</v>
      </c>
    </row>
    <row r="450" spans="1:14" x14ac:dyDescent="0.35">
      <c r="A450" t="s">
        <v>908</v>
      </c>
      <c r="B450" t="s">
        <v>909</v>
      </c>
      <c r="C450" t="s">
        <v>21</v>
      </c>
      <c r="D450">
        <v>45</v>
      </c>
      <c r="E450" t="s">
        <v>15</v>
      </c>
      <c r="F450" t="s">
        <v>16</v>
      </c>
      <c r="G450" t="s">
        <v>17</v>
      </c>
      <c r="H450" s="1">
        <v>44116</v>
      </c>
      <c r="J450">
        <v>904000</v>
      </c>
      <c r="K450">
        <v>0</v>
      </c>
      <c r="L450" t="s">
        <v>24</v>
      </c>
      <c r="M450">
        <f ca="1">IF(ISBLANK(Table1[[#This Row],[Exit]]),DATEDIF(Table1[[#This Row],[Hire]],TODAY(),"Y"),DATEDIF(Table1[[#This Row],[Hire]],Table1[[#This Row],[Exit]],"Y"))</f>
        <v>5</v>
      </c>
      <c r="N450" t="str" cm="1">
        <f t="array" ref="N450">_xlfn.IFS(
AND(D450&gt;=26,D450&lt;=30),"26–30",
AND(D450&gt;=31,D450&lt;=35),"31–35",
AND(D450&gt;=36,D450&lt;=40),"36–40",
AND(D450&gt;=41,D450&lt;=45),"41–45",
AND(D450&gt;=46,D450&lt;=50),"46–50",
AND(D450&gt;=51,D450&lt;=60),"51–60")</f>
        <v>41–45</v>
      </c>
    </row>
    <row r="451" spans="1:14" x14ac:dyDescent="0.35">
      <c r="A451" t="s">
        <v>910</v>
      </c>
      <c r="B451" t="s">
        <v>911</v>
      </c>
      <c r="C451" t="s">
        <v>21</v>
      </c>
      <c r="D451">
        <v>37</v>
      </c>
      <c r="E451" t="s">
        <v>22</v>
      </c>
      <c r="F451" t="s">
        <v>16</v>
      </c>
      <c r="G451" t="s">
        <v>23</v>
      </c>
      <c r="H451" s="1">
        <v>44588</v>
      </c>
      <c r="J451">
        <v>906000</v>
      </c>
      <c r="K451">
        <v>0.26</v>
      </c>
      <c r="L451" t="s">
        <v>24</v>
      </c>
      <c r="M451">
        <f ca="1">IF(ISBLANK(Table1[[#This Row],[Exit]]),DATEDIF(Table1[[#This Row],[Hire]],TODAY(),"Y"),DATEDIF(Table1[[#This Row],[Hire]],Table1[[#This Row],[Exit]],"Y"))</f>
        <v>4</v>
      </c>
      <c r="N451" t="str" cm="1">
        <f t="array" ref="N451">_xlfn.IFS(
AND(D451&gt;=26,D451&lt;=30),"26–30",
AND(D451&gt;=31,D451&lt;=35),"31–35",
AND(D451&gt;=36,D451&lt;=40),"36–40",
AND(D451&gt;=41,D451&lt;=45),"41–45",
AND(D451&gt;=46,D451&lt;=50),"46–50",
AND(D451&gt;=51,D451&lt;=60),"51–60")</f>
        <v>36–40</v>
      </c>
    </row>
    <row r="452" spans="1:14" x14ac:dyDescent="0.35">
      <c r="A452" t="s">
        <v>912</v>
      </c>
      <c r="B452" t="s">
        <v>913</v>
      </c>
      <c r="C452" t="s">
        <v>14</v>
      </c>
      <c r="D452">
        <v>38</v>
      </c>
      <c r="E452" t="s">
        <v>27</v>
      </c>
      <c r="F452" t="s">
        <v>28</v>
      </c>
      <c r="G452" t="s">
        <v>17</v>
      </c>
      <c r="H452" s="1">
        <v>45337</v>
      </c>
      <c r="J452">
        <v>908000</v>
      </c>
      <c r="K452">
        <v>0</v>
      </c>
      <c r="L452" t="s">
        <v>24</v>
      </c>
      <c r="M452">
        <f ca="1">IF(ISBLANK(Table1[[#This Row],[Exit]]),DATEDIF(Table1[[#This Row],[Hire]],TODAY(),"Y"),DATEDIF(Table1[[#This Row],[Hire]],Table1[[#This Row],[Exit]],"Y"))</f>
        <v>1</v>
      </c>
      <c r="N452" t="str" cm="1">
        <f t="array" ref="N452">_xlfn.IFS(
AND(D452&gt;=26,D452&lt;=30),"26–30",
AND(D452&gt;=31,D452&lt;=35),"31–35",
AND(D452&gt;=36,D452&lt;=40),"36–40",
AND(D452&gt;=41,D452&lt;=45),"41–45",
AND(D452&gt;=46,D452&lt;=50),"46–50",
AND(D452&gt;=51,D452&lt;=60),"51–60")</f>
        <v>36–40</v>
      </c>
    </row>
    <row r="453" spans="1:14" x14ac:dyDescent="0.35">
      <c r="A453" t="s">
        <v>914</v>
      </c>
      <c r="B453" t="s">
        <v>915</v>
      </c>
      <c r="C453" t="s">
        <v>21</v>
      </c>
      <c r="D453">
        <v>45</v>
      </c>
      <c r="E453" t="s">
        <v>31</v>
      </c>
      <c r="F453" t="s">
        <v>16</v>
      </c>
      <c r="G453" t="s">
        <v>23</v>
      </c>
      <c r="H453" s="1">
        <v>44237</v>
      </c>
      <c r="I453" s="1">
        <v>45245</v>
      </c>
      <c r="J453">
        <v>910000</v>
      </c>
      <c r="K453">
        <v>0.09</v>
      </c>
      <c r="L453" t="s">
        <v>18</v>
      </c>
      <c r="M453">
        <f ca="1">IF(ISBLANK(Table1[[#This Row],[Exit]]),DATEDIF(Table1[[#This Row],[Hire]],TODAY(),"Y"),DATEDIF(Table1[[#This Row],[Hire]],Table1[[#This Row],[Exit]],"Y"))</f>
        <v>2</v>
      </c>
      <c r="N453" t="str" cm="1">
        <f t="array" ref="N453">_xlfn.IFS(
AND(D453&gt;=26,D453&lt;=30),"26–30",
AND(D453&gt;=31,D453&lt;=35),"31–35",
AND(D453&gt;=36,D453&lt;=40),"36–40",
AND(D453&gt;=41,D453&lt;=45),"41–45",
AND(D453&gt;=46,D453&lt;=50),"46–50",
AND(D453&gt;=51,D453&lt;=60),"51–60")</f>
        <v>41–45</v>
      </c>
    </row>
    <row r="454" spans="1:14" x14ac:dyDescent="0.35">
      <c r="A454" t="s">
        <v>916</v>
      </c>
      <c r="B454" t="s">
        <v>917</v>
      </c>
      <c r="C454" t="s">
        <v>14</v>
      </c>
      <c r="D454">
        <v>51</v>
      </c>
      <c r="E454" t="s">
        <v>27</v>
      </c>
      <c r="F454" t="s">
        <v>28</v>
      </c>
      <c r="G454" t="s">
        <v>34</v>
      </c>
      <c r="H454" s="1">
        <v>44183</v>
      </c>
      <c r="J454">
        <v>912000</v>
      </c>
      <c r="K454">
        <v>0</v>
      </c>
      <c r="L454" t="s">
        <v>24</v>
      </c>
      <c r="M454">
        <f ca="1">IF(ISBLANK(Table1[[#This Row],[Exit]]),DATEDIF(Table1[[#This Row],[Hire]],TODAY(),"Y"),DATEDIF(Table1[[#This Row],[Hire]],Table1[[#This Row],[Exit]],"Y"))</f>
        <v>5</v>
      </c>
      <c r="N454" t="str" cm="1">
        <f t="array" ref="N454">_xlfn.IFS(
AND(D454&gt;=26,D454&lt;=30),"26–30",
AND(D454&gt;=31,D454&lt;=35),"31–35",
AND(D454&gt;=36,D454&lt;=40),"36–40",
AND(D454&gt;=41,D454&lt;=45),"41–45",
AND(D454&gt;=46,D454&lt;=50),"46–50",
AND(D454&gt;=51,D454&lt;=60),"51–60")</f>
        <v>51–60</v>
      </c>
    </row>
    <row r="455" spans="1:14" x14ac:dyDescent="0.35">
      <c r="A455" t="s">
        <v>918</v>
      </c>
      <c r="B455" t="s">
        <v>919</v>
      </c>
      <c r="C455" t="s">
        <v>14</v>
      </c>
      <c r="D455">
        <v>56</v>
      </c>
      <c r="E455" t="s">
        <v>15</v>
      </c>
      <c r="F455" t="s">
        <v>16</v>
      </c>
      <c r="G455" t="s">
        <v>23</v>
      </c>
      <c r="H455" s="1">
        <v>43837</v>
      </c>
      <c r="J455">
        <v>914000</v>
      </c>
      <c r="K455">
        <v>0</v>
      </c>
      <c r="L455" t="s">
        <v>24</v>
      </c>
      <c r="M455">
        <f ca="1">IF(ISBLANK(Table1[[#This Row],[Exit]]),DATEDIF(Table1[[#This Row],[Hire]],TODAY(),"Y"),DATEDIF(Table1[[#This Row],[Hire]],Table1[[#This Row],[Exit]],"Y"))</f>
        <v>6</v>
      </c>
      <c r="N455" t="str" cm="1">
        <f t="array" ref="N455">_xlfn.IFS(
AND(D455&gt;=26,D455&lt;=30),"26–30",
AND(D455&gt;=31,D455&lt;=35),"31–35",
AND(D455&gt;=36,D455&lt;=40),"36–40",
AND(D455&gt;=41,D455&lt;=45),"41–45",
AND(D455&gt;=46,D455&lt;=50),"46–50",
AND(D455&gt;=51,D455&lt;=60),"51–60")</f>
        <v>51–60</v>
      </c>
    </row>
    <row r="456" spans="1:14" x14ac:dyDescent="0.35">
      <c r="A456" t="s">
        <v>920</v>
      </c>
      <c r="B456" t="s">
        <v>921</v>
      </c>
      <c r="C456" t="s">
        <v>14</v>
      </c>
      <c r="D456">
        <v>53</v>
      </c>
      <c r="E456" t="s">
        <v>15</v>
      </c>
      <c r="F456" t="s">
        <v>16</v>
      </c>
      <c r="G456" t="s">
        <v>34</v>
      </c>
      <c r="H456" s="1">
        <v>45206</v>
      </c>
      <c r="J456">
        <v>916000</v>
      </c>
      <c r="K456">
        <v>0.31</v>
      </c>
      <c r="L456" t="s">
        <v>24</v>
      </c>
      <c r="M456">
        <f ca="1">IF(ISBLANK(Table1[[#This Row],[Exit]]),DATEDIF(Table1[[#This Row],[Hire]],TODAY(),"Y"),DATEDIF(Table1[[#This Row],[Hire]],Table1[[#This Row],[Exit]],"Y"))</f>
        <v>2</v>
      </c>
      <c r="N456" t="str" cm="1">
        <f t="array" ref="N456">_xlfn.IFS(
AND(D456&gt;=26,D456&lt;=30),"26–30",
AND(D456&gt;=31,D456&lt;=35),"31–35",
AND(D456&gt;=36,D456&lt;=40),"36–40",
AND(D456&gt;=41,D456&lt;=45),"41–45",
AND(D456&gt;=46,D456&lt;=50),"46–50",
AND(D456&gt;=51,D456&lt;=60),"51–60")</f>
        <v>51–60</v>
      </c>
    </row>
    <row r="457" spans="1:14" x14ac:dyDescent="0.35">
      <c r="A457" t="s">
        <v>922</v>
      </c>
      <c r="B457" t="s">
        <v>923</v>
      </c>
      <c r="C457" t="s">
        <v>14</v>
      </c>
      <c r="D457">
        <v>47</v>
      </c>
      <c r="E457" t="s">
        <v>42</v>
      </c>
      <c r="F457" t="s">
        <v>43</v>
      </c>
      <c r="G457" t="s">
        <v>34</v>
      </c>
      <c r="H457" s="1">
        <v>44487</v>
      </c>
      <c r="J457">
        <v>918000</v>
      </c>
      <c r="K457">
        <v>0</v>
      </c>
      <c r="L457" t="s">
        <v>24</v>
      </c>
      <c r="M457">
        <f ca="1">IF(ISBLANK(Table1[[#This Row],[Exit]]),DATEDIF(Table1[[#This Row],[Hire]],TODAY(),"Y"),DATEDIF(Table1[[#This Row],[Hire]],Table1[[#This Row],[Exit]],"Y"))</f>
        <v>4</v>
      </c>
      <c r="N457" t="str" cm="1">
        <f t="array" ref="N457">_xlfn.IFS(
AND(D457&gt;=26,D457&lt;=30),"26–30",
AND(D457&gt;=31,D457&lt;=35),"31–35",
AND(D457&gt;=36,D457&lt;=40),"36–40",
AND(D457&gt;=41,D457&lt;=45),"41–45",
AND(D457&gt;=46,D457&lt;=50),"46–50",
AND(D457&gt;=51,D457&lt;=60),"51–60")</f>
        <v>46–50</v>
      </c>
    </row>
    <row r="458" spans="1:14" x14ac:dyDescent="0.35">
      <c r="A458" t="s">
        <v>442</v>
      </c>
      <c r="B458" t="s">
        <v>924</v>
      </c>
      <c r="C458" t="s">
        <v>21</v>
      </c>
      <c r="D458">
        <v>36</v>
      </c>
      <c r="E458" t="s">
        <v>42</v>
      </c>
      <c r="F458" t="s">
        <v>46</v>
      </c>
      <c r="G458" t="s">
        <v>23</v>
      </c>
      <c r="H458" s="1">
        <v>44791</v>
      </c>
      <c r="J458">
        <v>920000</v>
      </c>
      <c r="K458">
        <v>0.34</v>
      </c>
      <c r="L458" t="s">
        <v>24</v>
      </c>
      <c r="M458">
        <f ca="1">IF(ISBLANK(Table1[[#This Row],[Exit]]),DATEDIF(Table1[[#This Row],[Hire]],TODAY(),"Y"),DATEDIF(Table1[[#This Row],[Hire]],Table1[[#This Row],[Exit]],"Y"))</f>
        <v>3</v>
      </c>
      <c r="N458" t="str" cm="1">
        <f t="array" ref="N458">_xlfn.IFS(
AND(D458&gt;=26,D458&lt;=30),"26–30",
AND(D458&gt;=31,D458&lt;=35),"31–35",
AND(D458&gt;=36,D458&lt;=40),"36–40",
AND(D458&gt;=41,D458&lt;=45),"41–45",
AND(D458&gt;=46,D458&lt;=50),"46–50",
AND(D458&gt;=51,D458&lt;=60),"51–60")</f>
        <v>36–40</v>
      </c>
    </row>
    <row r="459" spans="1:14" x14ac:dyDescent="0.35">
      <c r="A459" t="s">
        <v>54</v>
      </c>
      <c r="B459" t="s">
        <v>925</v>
      </c>
      <c r="C459" t="s">
        <v>14</v>
      </c>
      <c r="D459">
        <v>41</v>
      </c>
      <c r="E459" t="s">
        <v>42</v>
      </c>
      <c r="F459" t="s">
        <v>49</v>
      </c>
      <c r="G459" t="s">
        <v>17</v>
      </c>
      <c r="H459" s="1">
        <v>45440</v>
      </c>
      <c r="J459">
        <v>922000</v>
      </c>
      <c r="K459">
        <v>0.15</v>
      </c>
      <c r="L459" t="s">
        <v>24</v>
      </c>
      <c r="M459">
        <f ca="1">IF(ISBLANK(Table1[[#This Row],[Exit]]),DATEDIF(Table1[[#This Row],[Hire]],TODAY(),"Y"),DATEDIF(Table1[[#This Row],[Hire]],Table1[[#This Row],[Exit]],"Y"))</f>
        <v>1</v>
      </c>
      <c r="N459" t="str" cm="1">
        <f t="array" ref="N459">_xlfn.IFS(
AND(D459&gt;=26,D459&lt;=30),"26–30",
AND(D459&gt;=31,D459&lt;=35),"31–35",
AND(D459&gt;=36,D459&lt;=40),"36–40",
AND(D459&gt;=41,D459&lt;=45),"41–45",
AND(D459&gt;=46,D459&lt;=50),"46–50",
AND(D459&gt;=51,D459&lt;=60),"51–60")</f>
        <v>41–45</v>
      </c>
    </row>
    <row r="460" spans="1:14" x14ac:dyDescent="0.35">
      <c r="A460" t="s">
        <v>926</v>
      </c>
      <c r="B460" t="s">
        <v>927</v>
      </c>
      <c r="C460" t="s">
        <v>21</v>
      </c>
      <c r="D460">
        <v>31</v>
      </c>
      <c r="E460" t="s">
        <v>52</v>
      </c>
      <c r="F460" t="s">
        <v>16</v>
      </c>
      <c r="G460" t="s">
        <v>53</v>
      </c>
      <c r="H460" s="1">
        <v>44811</v>
      </c>
      <c r="J460">
        <v>924000</v>
      </c>
      <c r="K460">
        <v>0</v>
      </c>
      <c r="L460" t="s">
        <v>24</v>
      </c>
      <c r="M460">
        <f ca="1">IF(ISBLANK(Table1[[#This Row],[Exit]]),DATEDIF(Table1[[#This Row],[Hire]],TODAY(),"Y"),DATEDIF(Table1[[#This Row],[Hire]],Table1[[#This Row],[Exit]],"Y"))</f>
        <v>3</v>
      </c>
      <c r="N460" t="str" cm="1">
        <f t="array" ref="N460">_xlfn.IFS(
AND(D460&gt;=26,D460&lt;=30),"26–30",
AND(D460&gt;=31,D460&lt;=35),"31–35",
AND(D460&gt;=36,D460&lt;=40),"36–40",
AND(D460&gt;=41,D460&lt;=45),"41–45",
AND(D460&gt;=46,D460&lt;=50),"46–50",
AND(D460&gt;=51,D460&lt;=60),"51–60")</f>
        <v>31–35</v>
      </c>
    </row>
    <row r="461" spans="1:14" x14ac:dyDescent="0.35">
      <c r="A461" t="s">
        <v>928</v>
      </c>
      <c r="B461" t="s">
        <v>929</v>
      </c>
      <c r="C461" t="s">
        <v>14</v>
      </c>
      <c r="D461">
        <v>31</v>
      </c>
      <c r="E461" t="s">
        <v>42</v>
      </c>
      <c r="F461" t="s">
        <v>46</v>
      </c>
      <c r="G461" t="s">
        <v>53</v>
      </c>
      <c r="H461" s="1">
        <v>45294</v>
      </c>
      <c r="J461">
        <v>926000</v>
      </c>
      <c r="K461">
        <v>0</v>
      </c>
      <c r="L461" t="s">
        <v>24</v>
      </c>
      <c r="M461">
        <f ca="1">IF(ISBLANK(Table1[[#This Row],[Exit]]),DATEDIF(Table1[[#This Row],[Hire]],TODAY(),"Y"),DATEDIF(Table1[[#This Row],[Hire]],Table1[[#This Row],[Exit]],"Y"))</f>
        <v>2</v>
      </c>
      <c r="N461" t="str" cm="1">
        <f t="array" ref="N461">_xlfn.IFS(
AND(D461&gt;=26,D461&lt;=30),"26–30",
AND(D461&gt;=31,D461&lt;=35),"31–35",
AND(D461&gt;=36,D461&lt;=40),"36–40",
AND(D461&gt;=41,D461&lt;=45),"41–45",
AND(D461&gt;=46,D461&lt;=50),"46–50",
AND(D461&gt;=51,D461&lt;=60),"51–60")</f>
        <v>31–35</v>
      </c>
    </row>
    <row r="462" spans="1:14" x14ac:dyDescent="0.35">
      <c r="A462" t="s">
        <v>930</v>
      </c>
      <c r="B462" t="s">
        <v>931</v>
      </c>
      <c r="C462" t="s">
        <v>21</v>
      </c>
      <c r="D462">
        <v>38</v>
      </c>
      <c r="E462" t="s">
        <v>58</v>
      </c>
      <c r="F462" t="s">
        <v>59</v>
      </c>
      <c r="G462" t="s">
        <v>34</v>
      </c>
      <c r="H462" s="1">
        <v>45074</v>
      </c>
      <c r="I462" s="1">
        <v>45412</v>
      </c>
      <c r="J462">
        <v>928000</v>
      </c>
      <c r="K462">
        <v>0</v>
      </c>
      <c r="L462" t="s">
        <v>18</v>
      </c>
      <c r="M462">
        <f ca="1">IF(ISBLANK(Table1[[#This Row],[Exit]]),DATEDIF(Table1[[#This Row],[Hire]],TODAY(),"Y"),DATEDIF(Table1[[#This Row],[Hire]],Table1[[#This Row],[Exit]],"Y"))</f>
        <v>0</v>
      </c>
      <c r="N462" t="str" cm="1">
        <f t="array" ref="N462">_xlfn.IFS(
AND(D462&gt;=26,D462&lt;=30),"26–30",
AND(D462&gt;=31,D462&lt;=35),"31–35",
AND(D462&gt;=36,D462&lt;=40),"36–40",
AND(D462&gt;=41,D462&lt;=45),"41–45",
AND(D462&gt;=46,D462&lt;=50),"46–50",
AND(D462&gt;=51,D462&lt;=60),"51–60")</f>
        <v>36–40</v>
      </c>
    </row>
    <row r="463" spans="1:14" x14ac:dyDescent="0.35">
      <c r="A463" t="s">
        <v>932</v>
      </c>
      <c r="B463" t="s">
        <v>933</v>
      </c>
      <c r="C463" t="s">
        <v>14</v>
      </c>
      <c r="D463">
        <v>31</v>
      </c>
      <c r="E463" t="s">
        <v>52</v>
      </c>
      <c r="F463" t="s">
        <v>16</v>
      </c>
      <c r="G463" t="s">
        <v>23</v>
      </c>
      <c r="H463" s="1">
        <v>45245</v>
      </c>
      <c r="J463">
        <v>930000</v>
      </c>
      <c r="K463">
        <v>0</v>
      </c>
      <c r="L463" t="s">
        <v>24</v>
      </c>
      <c r="M463">
        <f ca="1">IF(ISBLANK(Table1[[#This Row],[Exit]]),DATEDIF(Table1[[#This Row],[Hire]],TODAY(),"Y"),DATEDIF(Table1[[#This Row],[Hire]],Table1[[#This Row],[Exit]],"Y"))</f>
        <v>2</v>
      </c>
      <c r="N463" t="str" cm="1">
        <f t="array" ref="N463">_xlfn.IFS(
AND(D463&gt;=26,D463&lt;=30),"26–30",
AND(D463&gt;=31,D463&lt;=35),"31–35",
AND(D463&gt;=36,D463&lt;=40),"36–40",
AND(D463&gt;=41,D463&lt;=45),"41–45",
AND(D463&gt;=46,D463&lt;=50),"46–50",
AND(D463&gt;=51,D463&lt;=60),"51–60")</f>
        <v>31–35</v>
      </c>
    </row>
    <row r="464" spans="1:14" x14ac:dyDescent="0.35">
      <c r="A464" t="s">
        <v>934</v>
      </c>
      <c r="B464" t="s">
        <v>935</v>
      </c>
      <c r="C464" t="s">
        <v>41</v>
      </c>
      <c r="D464">
        <v>39</v>
      </c>
      <c r="E464" t="s">
        <v>52</v>
      </c>
      <c r="F464" t="s">
        <v>16</v>
      </c>
      <c r="G464" t="s">
        <v>34</v>
      </c>
      <c r="H464" s="1">
        <v>43851</v>
      </c>
      <c r="J464">
        <v>932000</v>
      </c>
      <c r="K464">
        <v>0.39</v>
      </c>
      <c r="L464" t="s">
        <v>24</v>
      </c>
      <c r="M464">
        <f ca="1">IF(ISBLANK(Table1[[#This Row],[Exit]]),DATEDIF(Table1[[#This Row],[Hire]],TODAY(),"Y"),DATEDIF(Table1[[#This Row],[Hire]],Table1[[#This Row],[Exit]],"Y"))</f>
        <v>6</v>
      </c>
      <c r="N464" t="str" cm="1">
        <f t="array" ref="N464">_xlfn.IFS(
AND(D464&gt;=26,D464&lt;=30),"26–30",
AND(D464&gt;=31,D464&lt;=35),"31–35",
AND(D464&gt;=36,D464&lt;=40),"36–40",
AND(D464&gt;=41,D464&lt;=45),"41–45",
AND(D464&gt;=46,D464&lt;=50),"46–50",
AND(D464&gt;=51,D464&lt;=60),"51–60")</f>
        <v>36–40</v>
      </c>
    </row>
    <row r="465" spans="1:14" x14ac:dyDescent="0.35">
      <c r="A465" t="s">
        <v>936</v>
      </c>
      <c r="B465" t="s">
        <v>937</v>
      </c>
      <c r="C465" t="s">
        <v>14</v>
      </c>
      <c r="D465">
        <v>31</v>
      </c>
      <c r="E465" t="s">
        <v>66</v>
      </c>
      <c r="F465" t="s">
        <v>16</v>
      </c>
      <c r="G465" t="s">
        <v>17</v>
      </c>
      <c r="H465" s="1">
        <v>45206</v>
      </c>
      <c r="J465">
        <v>934000</v>
      </c>
      <c r="K465">
        <v>0</v>
      </c>
      <c r="L465" t="s">
        <v>24</v>
      </c>
      <c r="M465">
        <f ca="1">IF(ISBLANK(Table1[[#This Row],[Exit]]),DATEDIF(Table1[[#This Row],[Hire]],TODAY(),"Y"),DATEDIF(Table1[[#This Row],[Hire]],Table1[[#This Row],[Exit]],"Y"))</f>
        <v>2</v>
      </c>
      <c r="N465" t="str" cm="1">
        <f t="array" ref="N465">_xlfn.IFS(
AND(D465&gt;=26,D465&lt;=30),"26–30",
AND(D465&gt;=31,D465&lt;=35),"31–35",
AND(D465&gt;=36,D465&lt;=40),"36–40",
AND(D465&gt;=41,D465&lt;=45),"41–45",
AND(D465&gt;=46,D465&lt;=50),"46–50",
AND(D465&gt;=51,D465&lt;=60),"51–60")</f>
        <v>31–35</v>
      </c>
    </row>
    <row r="466" spans="1:14" x14ac:dyDescent="0.35">
      <c r="A466" t="s">
        <v>115</v>
      </c>
      <c r="B466" t="s">
        <v>938</v>
      </c>
      <c r="C466" t="s">
        <v>41</v>
      </c>
      <c r="D466">
        <v>45</v>
      </c>
      <c r="E466" t="s">
        <v>58</v>
      </c>
      <c r="F466" t="s">
        <v>59</v>
      </c>
      <c r="G466" t="s">
        <v>23</v>
      </c>
      <c r="H466" s="1">
        <v>45401</v>
      </c>
      <c r="J466">
        <v>936000</v>
      </c>
      <c r="K466">
        <v>0.09</v>
      </c>
      <c r="L466" t="s">
        <v>24</v>
      </c>
      <c r="M466">
        <f ca="1">IF(ISBLANK(Table1[[#This Row],[Exit]]),DATEDIF(Table1[[#This Row],[Hire]],TODAY(),"Y"),DATEDIF(Table1[[#This Row],[Hire]],Table1[[#This Row],[Exit]],"Y"))</f>
        <v>1</v>
      </c>
      <c r="N466" t="str" cm="1">
        <f t="array" ref="N466">_xlfn.IFS(
AND(D466&gt;=26,D466&lt;=30),"26–30",
AND(D466&gt;=31,D466&lt;=35),"31–35",
AND(D466&gt;=36,D466&lt;=40),"36–40",
AND(D466&gt;=41,D466&lt;=45),"41–45",
AND(D466&gt;=46,D466&lt;=50),"46–50",
AND(D466&gt;=51,D466&lt;=60),"51–60")</f>
        <v>41–45</v>
      </c>
    </row>
    <row r="467" spans="1:14" x14ac:dyDescent="0.35">
      <c r="A467" t="s">
        <v>939</v>
      </c>
      <c r="B467" t="s">
        <v>940</v>
      </c>
      <c r="C467" t="s">
        <v>14</v>
      </c>
      <c r="D467">
        <v>50</v>
      </c>
      <c r="E467" t="s">
        <v>66</v>
      </c>
      <c r="F467" t="s">
        <v>16</v>
      </c>
      <c r="G467" t="s">
        <v>34</v>
      </c>
      <c r="H467" s="1">
        <v>44083</v>
      </c>
      <c r="J467">
        <v>938000</v>
      </c>
      <c r="K467">
        <v>0</v>
      </c>
      <c r="L467" t="s">
        <v>24</v>
      </c>
      <c r="M467">
        <f ca="1">IF(ISBLANK(Table1[[#This Row],[Exit]]),DATEDIF(Table1[[#This Row],[Hire]],TODAY(),"Y"),DATEDIF(Table1[[#This Row],[Hire]],Table1[[#This Row],[Exit]],"Y"))</f>
        <v>5</v>
      </c>
      <c r="N467" t="str" cm="1">
        <f t="array" ref="N467">_xlfn.IFS(
AND(D467&gt;=26,D467&lt;=30),"26–30",
AND(D467&gt;=31,D467&lt;=35),"31–35",
AND(D467&gt;=36,D467&lt;=40),"36–40",
AND(D467&gt;=41,D467&lt;=45),"41–45",
AND(D467&gt;=46,D467&lt;=50),"46–50",
AND(D467&gt;=51,D467&lt;=60),"51–60")</f>
        <v>46–50</v>
      </c>
    </row>
    <row r="468" spans="1:14" x14ac:dyDescent="0.35">
      <c r="A468" t="s">
        <v>941</v>
      </c>
      <c r="B468" t="s">
        <v>942</v>
      </c>
      <c r="C468" t="s">
        <v>21</v>
      </c>
      <c r="D468">
        <v>36</v>
      </c>
      <c r="E468" t="s">
        <v>66</v>
      </c>
      <c r="F468" t="s">
        <v>16</v>
      </c>
      <c r="G468" t="s">
        <v>53</v>
      </c>
      <c r="H468" s="1">
        <v>45233</v>
      </c>
      <c r="J468">
        <v>940000</v>
      </c>
      <c r="K468">
        <v>0.11</v>
      </c>
      <c r="L468" t="s">
        <v>24</v>
      </c>
      <c r="M468">
        <f ca="1">IF(ISBLANK(Table1[[#This Row],[Exit]]),DATEDIF(Table1[[#This Row],[Hire]],TODAY(),"Y"),DATEDIF(Table1[[#This Row],[Hire]],Table1[[#This Row],[Exit]],"Y"))</f>
        <v>2</v>
      </c>
      <c r="N468" t="str" cm="1">
        <f t="array" ref="N468">_xlfn.IFS(
AND(D468&gt;=26,D468&lt;=30),"26–30",
AND(D468&gt;=31,D468&lt;=35),"31–35",
AND(D468&gt;=36,D468&lt;=40),"36–40",
AND(D468&gt;=41,D468&lt;=45),"41–45",
AND(D468&gt;=46,D468&lt;=50),"46–50",
AND(D468&gt;=51,D468&lt;=60),"51–60")</f>
        <v>36–40</v>
      </c>
    </row>
    <row r="469" spans="1:14" x14ac:dyDescent="0.35">
      <c r="A469" t="s">
        <v>943</v>
      </c>
      <c r="B469" t="s">
        <v>944</v>
      </c>
      <c r="C469" t="s">
        <v>21</v>
      </c>
      <c r="D469">
        <v>45</v>
      </c>
      <c r="E469" t="s">
        <v>58</v>
      </c>
      <c r="F469" t="s">
        <v>59</v>
      </c>
      <c r="G469" t="s">
        <v>53</v>
      </c>
      <c r="H469" s="1">
        <v>45412</v>
      </c>
      <c r="J469">
        <v>942000</v>
      </c>
      <c r="K469">
        <v>0</v>
      </c>
      <c r="L469" t="s">
        <v>24</v>
      </c>
      <c r="M469">
        <f ca="1">IF(ISBLANK(Table1[[#This Row],[Exit]]),DATEDIF(Table1[[#This Row],[Hire]],TODAY(),"Y"),DATEDIF(Table1[[#This Row],[Hire]],Table1[[#This Row],[Exit]],"Y"))</f>
        <v>1</v>
      </c>
      <c r="N469" t="str" cm="1">
        <f t="array" ref="N469">_xlfn.IFS(
AND(D469&gt;=26,D469&lt;=30),"26–30",
AND(D469&gt;=31,D469&lt;=35),"31–35",
AND(D469&gt;=36,D469&lt;=40),"36–40",
AND(D469&gt;=41,D469&lt;=45),"41–45",
AND(D469&gt;=46,D469&lt;=50),"46–50",
AND(D469&gt;=51,D469&lt;=60),"51–60")</f>
        <v>41–45</v>
      </c>
    </row>
    <row r="470" spans="1:14" x14ac:dyDescent="0.35">
      <c r="A470" t="s">
        <v>945</v>
      </c>
      <c r="B470" t="s">
        <v>946</v>
      </c>
      <c r="C470" t="s">
        <v>14</v>
      </c>
      <c r="D470">
        <v>31</v>
      </c>
      <c r="E470" t="s">
        <v>15</v>
      </c>
      <c r="F470" t="s">
        <v>16</v>
      </c>
      <c r="G470" t="s">
        <v>53</v>
      </c>
      <c r="H470" s="1">
        <v>43887</v>
      </c>
      <c r="J470">
        <v>944000</v>
      </c>
      <c r="K470">
        <v>0.24</v>
      </c>
      <c r="L470" t="s">
        <v>24</v>
      </c>
      <c r="M470">
        <f ca="1">IF(ISBLANK(Table1[[#This Row],[Exit]]),DATEDIF(Table1[[#This Row],[Hire]],TODAY(),"Y"),DATEDIF(Table1[[#This Row],[Hire]],Table1[[#This Row],[Exit]],"Y"))</f>
        <v>5</v>
      </c>
      <c r="N470" t="str" cm="1">
        <f t="array" ref="N470">_xlfn.IFS(
AND(D470&gt;=26,D470&lt;=30),"26–30",
AND(D470&gt;=31,D470&lt;=35),"31–35",
AND(D470&gt;=36,D470&lt;=40),"36–40",
AND(D470&gt;=41,D470&lt;=45),"41–45",
AND(D470&gt;=46,D470&lt;=50),"46–50",
AND(D470&gt;=51,D470&lt;=60),"51–60")</f>
        <v>31–35</v>
      </c>
    </row>
    <row r="471" spans="1:14" x14ac:dyDescent="0.35">
      <c r="A471" t="s">
        <v>947</v>
      </c>
      <c r="B471" t="s">
        <v>948</v>
      </c>
      <c r="C471" t="s">
        <v>21</v>
      </c>
      <c r="D471">
        <v>41</v>
      </c>
      <c r="E471" t="s">
        <v>22</v>
      </c>
      <c r="F471" t="s">
        <v>16</v>
      </c>
      <c r="G471" t="s">
        <v>53</v>
      </c>
      <c r="H471" s="1">
        <v>44815</v>
      </c>
      <c r="J471">
        <v>946000</v>
      </c>
      <c r="K471">
        <v>0.1</v>
      </c>
      <c r="L471" t="s">
        <v>24</v>
      </c>
      <c r="M471">
        <f ca="1">IF(ISBLANK(Table1[[#This Row],[Exit]]),DATEDIF(Table1[[#This Row],[Hire]],TODAY(),"Y"),DATEDIF(Table1[[#This Row],[Hire]],Table1[[#This Row],[Exit]],"Y"))</f>
        <v>3</v>
      </c>
      <c r="N471" t="str" cm="1">
        <f t="array" ref="N471">_xlfn.IFS(
AND(D471&gt;=26,D471&lt;=30),"26–30",
AND(D471&gt;=31,D471&lt;=35),"31–35",
AND(D471&gt;=36,D471&lt;=40),"36–40",
AND(D471&gt;=41,D471&lt;=45),"41–45",
AND(D471&gt;=46,D471&lt;=50),"46–50",
AND(D471&gt;=51,D471&lt;=60),"51–60")</f>
        <v>41–45</v>
      </c>
    </row>
    <row r="472" spans="1:14" x14ac:dyDescent="0.35">
      <c r="A472" t="s">
        <v>949</v>
      </c>
      <c r="B472" t="s">
        <v>950</v>
      </c>
      <c r="C472" t="s">
        <v>21</v>
      </c>
      <c r="D472">
        <v>47</v>
      </c>
      <c r="E472" t="s">
        <v>81</v>
      </c>
      <c r="F472" t="s">
        <v>43</v>
      </c>
      <c r="G472" t="s">
        <v>53</v>
      </c>
      <c r="H472" s="1">
        <v>45430</v>
      </c>
      <c r="J472">
        <v>948000</v>
      </c>
      <c r="K472">
        <v>0.1</v>
      </c>
      <c r="L472" t="s">
        <v>24</v>
      </c>
      <c r="M472">
        <f ca="1">IF(ISBLANK(Table1[[#This Row],[Exit]]),DATEDIF(Table1[[#This Row],[Hire]],TODAY(),"Y"),DATEDIF(Table1[[#This Row],[Hire]],Table1[[#This Row],[Exit]],"Y"))</f>
        <v>1</v>
      </c>
      <c r="N472" t="str" cm="1">
        <f t="array" ref="N472">_xlfn.IFS(
AND(D472&gt;=26,D472&lt;=30),"26–30",
AND(D472&gt;=31,D472&lt;=35),"31–35",
AND(D472&gt;=36,D472&lt;=40),"36–40",
AND(D472&gt;=41,D472&lt;=45),"41–45",
AND(D472&gt;=46,D472&lt;=50),"46–50",
AND(D472&gt;=51,D472&lt;=60),"51–60")</f>
        <v>46–50</v>
      </c>
    </row>
    <row r="473" spans="1:14" x14ac:dyDescent="0.35">
      <c r="A473" t="s">
        <v>951</v>
      </c>
      <c r="B473" t="s">
        <v>952</v>
      </c>
      <c r="C473" t="s">
        <v>21</v>
      </c>
      <c r="D473">
        <v>38</v>
      </c>
      <c r="E473" t="s">
        <v>52</v>
      </c>
      <c r="F473" t="s">
        <v>16</v>
      </c>
      <c r="G473" t="s">
        <v>17</v>
      </c>
      <c r="H473" s="1">
        <v>44509</v>
      </c>
      <c r="J473">
        <v>950000</v>
      </c>
      <c r="K473">
        <v>0</v>
      </c>
      <c r="L473" t="s">
        <v>24</v>
      </c>
      <c r="M473">
        <f ca="1">IF(ISBLANK(Table1[[#This Row],[Exit]]),DATEDIF(Table1[[#This Row],[Hire]],TODAY(),"Y"),DATEDIF(Table1[[#This Row],[Hire]],Table1[[#This Row],[Exit]],"Y"))</f>
        <v>4</v>
      </c>
      <c r="N473" t="str" cm="1">
        <f t="array" ref="N473">_xlfn.IFS(
AND(D473&gt;=26,D473&lt;=30),"26–30",
AND(D473&gt;=31,D473&lt;=35),"31–35",
AND(D473&gt;=36,D473&lt;=40),"36–40",
AND(D473&gt;=41,D473&lt;=45),"41–45",
AND(D473&gt;=46,D473&lt;=50),"46–50",
AND(D473&gt;=51,D473&lt;=60),"51–60")</f>
        <v>36–40</v>
      </c>
    </row>
    <row r="474" spans="1:14" x14ac:dyDescent="0.35">
      <c r="A474" t="s">
        <v>953</v>
      </c>
      <c r="B474" t="s">
        <v>954</v>
      </c>
      <c r="C474" t="s">
        <v>14</v>
      </c>
      <c r="D474">
        <v>40</v>
      </c>
      <c r="E474" t="s">
        <v>66</v>
      </c>
      <c r="F474" t="s">
        <v>16</v>
      </c>
      <c r="G474" t="s">
        <v>23</v>
      </c>
      <c r="H474" s="1">
        <v>43963</v>
      </c>
      <c r="J474">
        <v>952000</v>
      </c>
      <c r="K474">
        <v>0</v>
      </c>
      <c r="L474" t="s">
        <v>24</v>
      </c>
      <c r="M474">
        <f ca="1">IF(ISBLANK(Table1[[#This Row],[Exit]]),DATEDIF(Table1[[#This Row],[Hire]],TODAY(),"Y"),DATEDIF(Table1[[#This Row],[Hire]],Table1[[#This Row],[Exit]],"Y"))</f>
        <v>5</v>
      </c>
      <c r="N474" t="str" cm="1">
        <f t="array" ref="N474">_xlfn.IFS(
AND(D474&gt;=26,D474&lt;=30),"26–30",
AND(D474&gt;=31,D474&lt;=35),"31–35",
AND(D474&gt;=36,D474&lt;=40),"36–40",
AND(D474&gt;=41,D474&lt;=45),"41–45",
AND(D474&gt;=46,D474&lt;=50),"46–50",
AND(D474&gt;=51,D474&lt;=60),"51–60")</f>
        <v>36–40</v>
      </c>
    </row>
    <row r="475" spans="1:14" x14ac:dyDescent="0.35">
      <c r="A475" t="s">
        <v>955</v>
      </c>
      <c r="B475" t="s">
        <v>956</v>
      </c>
      <c r="C475" t="s">
        <v>41</v>
      </c>
      <c r="D475">
        <v>45</v>
      </c>
      <c r="E475" t="s">
        <v>31</v>
      </c>
      <c r="F475" t="s">
        <v>16</v>
      </c>
      <c r="G475" t="s">
        <v>53</v>
      </c>
      <c r="H475" s="1">
        <v>44815</v>
      </c>
      <c r="J475">
        <v>954000</v>
      </c>
      <c r="K475">
        <v>0</v>
      </c>
      <c r="L475" t="s">
        <v>24</v>
      </c>
      <c r="M475">
        <f ca="1">IF(ISBLANK(Table1[[#This Row],[Exit]]),DATEDIF(Table1[[#This Row],[Hire]],TODAY(),"Y"),DATEDIF(Table1[[#This Row],[Hire]],Table1[[#This Row],[Exit]],"Y"))</f>
        <v>3</v>
      </c>
      <c r="N475" t="str" cm="1">
        <f t="array" ref="N475">_xlfn.IFS(
AND(D475&gt;=26,D475&lt;=30),"26–30",
AND(D475&gt;=31,D475&lt;=35),"31–35",
AND(D475&gt;=36,D475&lt;=40),"36–40",
AND(D475&gt;=41,D475&lt;=45),"41–45",
AND(D475&gt;=46,D475&lt;=50),"46–50",
AND(D475&gt;=51,D475&lt;=60),"51–60")</f>
        <v>41–45</v>
      </c>
    </row>
    <row r="476" spans="1:14" x14ac:dyDescent="0.35">
      <c r="A476" t="s">
        <v>957</v>
      </c>
      <c r="B476" t="s">
        <v>958</v>
      </c>
      <c r="C476" t="s">
        <v>14</v>
      </c>
      <c r="D476">
        <v>31</v>
      </c>
      <c r="E476" t="s">
        <v>81</v>
      </c>
      <c r="F476" t="s">
        <v>49</v>
      </c>
      <c r="G476" t="s">
        <v>34</v>
      </c>
      <c r="H476" s="1">
        <v>44857</v>
      </c>
      <c r="J476">
        <v>956000</v>
      </c>
      <c r="K476">
        <v>0</v>
      </c>
      <c r="L476" t="s">
        <v>24</v>
      </c>
      <c r="M476">
        <f ca="1">IF(ISBLANK(Table1[[#This Row],[Exit]]),DATEDIF(Table1[[#This Row],[Hire]],TODAY(),"Y"),DATEDIF(Table1[[#This Row],[Hire]],Table1[[#This Row],[Exit]],"Y"))</f>
        <v>3</v>
      </c>
      <c r="N476" t="str" cm="1">
        <f t="array" ref="N476">_xlfn.IFS(
AND(D476&gt;=26,D476&lt;=30),"26–30",
AND(D476&gt;=31,D476&lt;=35),"31–35",
AND(D476&gt;=36,D476&lt;=40),"36–40",
AND(D476&gt;=41,D476&lt;=45),"41–45",
AND(D476&gt;=46,D476&lt;=50),"46–50",
AND(D476&gt;=51,D476&lt;=60),"51–60")</f>
        <v>31–35</v>
      </c>
    </row>
    <row r="477" spans="1:14" x14ac:dyDescent="0.35">
      <c r="A477" t="s">
        <v>959</v>
      </c>
      <c r="B477" t="s">
        <v>960</v>
      </c>
      <c r="C477" t="s">
        <v>21</v>
      </c>
      <c r="D477">
        <v>35</v>
      </c>
      <c r="E477" t="s">
        <v>92</v>
      </c>
      <c r="F477" t="s">
        <v>59</v>
      </c>
      <c r="G477" t="s">
        <v>53</v>
      </c>
      <c r="H477" s="1">
        <v>45527</v>
      </c>
      <c r="J477">
        <v>958000</v>
      </c>
      <c r="K477">
        <v>0.32</v>
      </c>
      <c r="L477" t="s">
        <v>24</v>
      </c>
      <c r="M477">
        <f ca="1">IF(ISBLANK(Table1[[#This Row],[Exit]]),DATEDIF(Table1[[#This Row],[Hire]],TODAY(),"Y"),DATEDIF(Table1[[#This Row],[Hire]],Table1[[#This Row],[Exit]],"Y"))</f>
        <v>1</v>
      </c>
      <c r="N477" t="str" cm="1">
        <f t="array" ref="N477">_xlfn.IFS(
AND(D477&gt;=26,D477&lt;=30),"26–30",
AND(D477&gt;=31,D477&lt;=35),"31–35",
AND(D477&gt;=36,D477&lt;=40),"36–40",
AND(D477&gt;=41,D477&lt;=45),"41–45",
AND(D477&gt;=46,D477&lt;=50),"46–50",
AND(D477&gt;=51,D477&lt;=60),"51–60")</f>
        <v>31–35</v>
      </c>
    </row>
    <row r="478" spans="1:14" x14ac:dyDescent="0.35">
      <c r="A478" t="s">
        <v>961</v>
      </c>
      <c r="B478" t="s">
        <v>962</v>
      </c>
      <c r="C478" t="s">
        <v>14</v>
      </c>
      <c r="D478">
        <v>31</v>
      </c>
      <c r="E478" t="s">
        <v>81</v>
      </c>
      <c r="F478" t="s">
        <v>46</v>
      </c>
      <c r="G478" t="s">
        <v>23</v>
      </c>
      <c r="H478" s="1">
        <v>45237</v>
      </c>
      <c r="J478">
        <v>960000</v>
      </c>
      <c r="K478">
        <v>0</v>
      </c>
      <c r="L478" t="s">
        <v>24</v>
      </c>
      <c r="M478">
        <f ca="1">IF(ISBLANK(Table1[[#This Row],[Exit]]),DATEDIF(Table1[[#This Row],[Hire]],TODAY(),"Y"),DATEDIF(Table1[[#This Row],[Hire]],Table1[[#This Row],[Exit]],"Y"))</f>
        <v>2</v>
      </c>
      <c r="N478" t="str" cm="1">
        <f t="array" ref="N478">_xlfn.IFS(
AND(D478&gt;=26,D478&lt;=30),"26–30",
AND(D478&gt;=31,D478&lt;=35),"31–35",
AND(D478&gt;=36,D478&lt;=40),"36–40",
AND(D478&gt;=41,D478&lt;=45),"41–45",
AND(D478&gt;=46,D478&lt;=50),"46–50",
AND(D478&gt;=51,D478&lt;=60),"51–60")</f>
        <v>31–35</v>
      </c>
    </row>
    <row r="479" spans="1:14" x14ac:dyDescent="0.35">
      <c r="A479" t="s">
        <v>963</v>
      </c>
      <c r="B479" t="s">
        <v>964</v>
      </c>
      <c r="C479" t="s">
        <v>14</v>
      </c>
      <c r="D479">
        <v>35</v>
      </c>
      <c r="E479" t="s">
        <v>22</v>
      </c>
      <c r="F479" t="s">
        <v>16</v>
      </c>
      <c r="G479" t="s">
        <v>34</v>
      </c>
      <c r="H479" s="1">
        <v>45206</v>
      </c>
      <c r="I479" s="1">
        <v>45337</v>
      </c>
      <c r="J479">
        <v>962000</v>
      </c>
      <c r="K479">
        <v>0</v>
      </c>
      <c r="L479" t="s">
        <v>18</v>
      </c>
      <c r="M479">
        <f ca="1">IF(ISBLANK(Table1[[#This Row],[Exit]]),DATEDIF(Table1[[#This Row],[Hire]],TODAY(),"Y"),DATEDIF(Table1[[#This Row],[Hire]],Table1[[#This Row],[Exit]],"Y"))</f>
        <v>0</v>
      </c>
      <c r="N479" t="str" cm="1">
        <f t="array" ref="N479">_xlfn.IFS(
AND(D479&gt;=26,D479&lt;=30),"26–30",
AND(D479&gt;=31,D479&lt;=35),"31–35",
AND(D479&gt;=36,D479&lt;=40),"36–40",
AND(D479&gt;=41,D479&lt;=45),"41–45",
AND(D479&gt;=46,D479&lt;=50),"46–50",
AND(D479&gt;=51,D479&lt;=60),"51–60")</f>
        <v>31–35</v>
      </c>
    </row>
    <row r="480" spans="1:14" x14ac:dyDescent="0.35">
      <c r="A480" t="s">
        <v>965</v>
      </c>
      <c r="B480" t="s">
        <v>966</v>
      </c>
      <c r="C480" t="s">
        <v>14</v>
      </c>
      <c r="D480">
        <v>31</v>
      </c>
      <c r="E480" t="s">
        <v>92</v>
      </c>
      <c r="F480" t="s">
        <v>59</v>
      </c>
      <c r="G480" t="s">
        <v>34</v>
      </c>
      <c r="H480" s="1">
        <v>44677</v>
      </c>
      <c r="J480">
        <v>964000</v>
      </c>
      <c r="K480">
        <v>0.11</v>
      </c>
      <c r="L480" t="s">
        <v>24</v>
      </c>
      <c r="M480">
        <f ca="1">IF(ISBLANK(Table1[[#This Row],[Exit]]),DATEDIF(Table1[[#This Row],[Hire]],TODAY(),"Y"),DATEDIF(Table1[[#This Row],[Hire]],Table1[[#This Row],[Exit]],"Y"))</f>
        <v>3</v>
      </c>
      <c r="N480" t="str" cm="1">
        <f t="array" ref="N480">_xlfn.IFS(
AND(D480&gt;=26,D480&lt;=30),"26–30",
AND(D480&gt;=31,D480&lt;=35),"31–35",
AND(D480&gt;=36,D480&lt;=40),"36–40",
AND(D480&gt;=41,D480&lt;=45),"41–45",
AND(D480&gt;=46,D480&lt;=50),"46–50",
AND(D480&gt;=51,D480&lt;=60),"51–60")</f>
        <v>31–35</v>
      </c>
    </row>
    <row r="481" spans="1:14" x14ac:dyDescent="0.35">
      <c r="A481" t="s">
        <v>967</v>
      </c>
      <c r="B481" t="s">
        <v>968</v>
      </c>
      <c r="C481" t="s">
        <v>14</v>
      </c>
      <c r="D481">
        <v>31</v>
      </c>
      <c r="E481" t="s">
        <v>31</v>
      </c>
      <c r="F481" t="s">
        <v>16</v>
      </c>
      <c r="G481" t="s">
        <v>17</v>
      </c>
      <c r="H481" s="1">
        <v>43889</v>
      </c>
      <c r="J481">
        <v>966000</v>
      </c>
      <c r="K481">
        <v>0</v>
      </c>
      <c r="L481" t="s">
        <v>24</v>
      </c>
      <c r="M481">
        <f ca="1">IF(ISBLANK(Table1[[#This Row],[Exit]]),DATEDIF(Table1[[#This Row],[Hire]],TODAY(),"Y"),DATEDIF(Table1[[#This Row],[Hire]],Table1[[#This Row],[Exit]],"Y"))</f>
        <v>5</v>
      </c>
      <c r="N481" t="str" cm="1">
        <f t="array" ref="N481">_xlfn.IFS(
AND(D481&gt;=26,D481&lt;=30),"26–30",
AND(D481&gt;=31,D481&lt;=35),"31–35",
AND(D481&gt;=36,D481&lt;=40),"36–40",
AND(D481&gt;=41,D481&lt;=45),"41–45",
AND(D481&gt;=46,D481&lt;=50),"46–50",
AND(D481&gt;=51,D481&lt;=60),"51–60")</f>
        <v>31–35</v>
      </c>
    </row>
    <row r="482" spans="1:14" x14ac:dyDescent="0.35">
      <c r="A482" t="s">
        <v>969</v>
      </c>
      <c r="B482" t="s">
        <v>970</v>
      </c>
      <c r="C482" t="s">
        <v>14</v>
      </c>
      <c r="D482">
        <v>31</v>
      </c>
      <c r="E482" t="s">
        <v>15</v>
      </c>
      <c r="F482" t="s">
        <v>16</v>
      </c>
      <c r="G482" t="s">
        <v>17</v>
      </c>
      <c r="H482" s="1">
        <v>44116</v>
      </c>
      <c r="J482">
        <v>968000</v>
      </c>
      <c r="K482">
        <v>0.06</v>
      </c>
      <c r="L482" t="s">
        <v>24</v>
      </c>
      <c r="M482">
        <f ca="1">IF(ISBLANK(Table1[[#This Row],[Exit]]),DATEDIF(Table1[[#This Row],[Hire]],TODAY(),"Y"),DATEDIF(Table1[[#This Row],[Hire]],Table1[[#This Row],[Exit]],"Y"))</f>
        <v>5</v>
      </c>
      <c r="N482" t="str" cm="1">
        <f t="array" ref="N482">_xlfn.IFS(
AND(D482&gt;=26,D482&lt;=30),"26–30",
AND(D482&gt;=31,D482&lt;=35),"31–35",
AND(D482&gt;=36,D482&lt;=40),"36–40",
AND(D482&gt;=41,D482&lt;=45),"41–45",
AND(D482&gt;=46,D482&lt;=50),"46–50",
AND(D482&gt;=51,D482&lt;=60),"51–60")</f>
        <v>31–35</v>
      </c>
    </row>
    <row r="483" spans="1:14" x14ac:dyDescent="0.35">
      <c r="A483" t="s">
        <v>971</v>
      </c>
      <c r="B483" t="s">
        <v>972</v>
      </c>
      <c r="C483" t="s">
        <v>14</v>
      </c>
      <c r="D483">
        <v>31</v>
      </c>
      <c r="E483" t="s">
        <v>22</v>
      </c>
      <c r="F483" t="s">
        <v>16</v>
      </c>
      <c r="G483" t="s">
        <v>23</v>
      </c>
      <c r="H483" s="1">
        <v>44588</v>
      </c>
      <c r="J483">
        <v>970000</v>
      </c>
      <c r="K483">
        <v>0</v>
      </c>
      <c r="L483" t="s">
        <v>24</v>
      </c>
      <c r="M483">
        <f ca="1">IF(ISBLANK(Table1[[#This Row],[Exit]]),DATEDIF(Table1[[#This Row],[Hire]],TODAY(),"Y"),DATEDIF(Table1[[#This Row],[Hire]],Table1[[#This Row],[Exit]],"Y"))</f>
        <v>4</v>
      </c>
      <c r="N483" t="str" cm="1">
        <f t="array" ref="N483">_xlfn.IFS(
AND(D483&gt;=26,D483&lt;=30),"26–30",
AND(D483&gt;=31,D483&lt;=35),"31–35",
AND(D483&gt;=36,D483&lt;=40),"36–40",
AND(D483&gt;=41,D483&lt;=45),"41–45",
AND(D483&gt;=46,D483&lt;=50),"46–50",
AND(D483&gt;=51,D483&lt;=60),"51–60")</f>
        <v>31–35</v>
      </c>
    </row>
    <row r="484" spans="1:14" x14ac:dyDescent="0.35">
      <c r="A484" t="s">
        <v>56</v>
      </c>
      <c r="B484" t="s">
        <v>973</v>
      </c>
      <c r="C484" t="s">
        <v>14</v>
      </c>
      <c r="D484">
        <v>36</v>
      </c>
      <c r="E484" t="s">
        <v>27</v>
      </c>
      <c r="F484" t="s">
        <v>28</v>
      </c>
      <c r="G484" t="s">
        <v>17</v>
      </c>
      <c r="H484" s="1">
        <v>45337</v>
      </c>
      <c r="J484">
        <v>972000</v>
      </c>
      <c r="K484">
        <v>0</v>
      </c>
      <c r="L484" t="s">
        <v>24</v>
      </c>
      <c r="M484">
        <f ca="1">IF(ISBLANK(Table1[[#This Row],[Exit]]),DATEDIF(Table1[[#This Row],[Hire]],TODAY(),"Y"),DATEDIF(Table1[[#This Row],[Hire]],Table1[[#This Row],[Exit]],"Y"))</f>
        <v>1</v>
      </c>
      <c r="N484" t="str" cm="1">
        <f t="array" ref="N484">_xlfn.IFS(
AND(D484&gt;=26,D484&lt;=30),"26–30",
AND(D484&gt;=31,D484&lt;=35),"31–35",
AND(D484&gt;=36,D484&lt;=40),"36–40",
AND(D484&gt;=41,D484&lt;=45),"41–45",
AND(D484&gt;=46,D484&lt;=50),"46–50",
AND(D484&gt;=51,D484&lt;=60),"51–60")</f>
        <v>36–40</v>
      </c>
    </row>
    <row r="485" spans="1:14" x14ac:dyDescent="0.35">
      <c r="A485" t="s">
        <v>974</v>
      </c>
      <c r="B485" t="s">
        <v>975</v>
      </c>
      <c r="C485" t="s">
        <v>21</v>
      </c>
      <c r="D485">
        <v>45</v>
      </c>
      <c r="E485" t="s">
        <v>31</v>
      </c>
      <c r="F485" t="s">
        <v>16</v>
      </c>
      <c r="G485" t="s">
        <v>23</v>
      </c>
      <c r="H485" s="1">
        <v>45332</v>
      </c>
      <c r="J485">
        <v>974000</v>
      </c>
      <c r="K485">
        <v>7.0000000000000007E-2</v>
      </c>
      <c r="L485" t="s">
        <v>24</v>
      </c>
      <c r="M485">
        <f ca="1">IF(ISBLANK(Table1[[#This Row],[Exit]]),DATEDIF(Table1[[#This Row],[Hire]],TODAY(),"Y"),DATEDIF(Table1[[#This Row],[Hire]],Table1[[#This Row],[Exit]],"Y"))</f>
        <v>1</v>
      </c>
      <c r="N485" t="str" cm="1">
        <f t="array" ref="N485">_xlfn.IFS(
AND(D485&gt;=26,D485&lt;=30),"26–30",
AND(D485&gt;=31,D485&lt;=35),"31–35",
AND(D485&gt;=36,D485&lt;=40),"36–40",
AND(D485&gt;=41,D485&lt;=45),"41–45",
AND(D485&gt;=46,D485&lt;=50),"46–50",
AND(D485&gt;=51,D485&lt;=60),"51–60")</f>
        <v>41–45</v>
      </c>
    </row>
    <row r="486" spans="1:14" x14ac:dyDescent="0.35">
      <c r="A486" t="s">
        <v>976</v>
      </c>
      <c r="B486" t="s">
        <v>977</v>
      </c>
      <c r="C486" t="s">
        <v>14</v>
      </c>
      <c r="D486">
        <v>37</v>
      </c>
      <c r="E486" t="s">
        <v>27</v>
      </c>
      <c r="F486" t="s">
        <v>28</v>
      </c>
      <c r="G486" t="s">
        <v>34</v>
      </c>
      <c r="H486" s="1">
        <v>44183</v>
      </c>
      <c r="J486">
        <v>976000</v>
      </c>
      <c r="K486">
        <v>0</v>
      </c>
      <c r="L486" t="s">
        <v>24</v>
      </c>
      <c r="M486">
        <f ca="1">IF(ISBLANK(Table1[[#This Row],[Exit]]),DATEDIF(Table1[[#This Row],[Hire]],TODAY(),"Y"),DATEDIF(Table1[[#This Row],[Hire]],Table1[[#This Row],[Exit]],"Y"))</f>
        <v>5</v>
      </c>
      <c r="N486" t="str" cm="1">
        <f t="array" ref="N486">_xlfn.IFS(
AND(D486&gt;=26,D486&lt;=30),"26–30",
AND(D486&gt;=31,D486&lt;=35),"31–35",
AND(D486&gt;=36,D486&lt;=40),"36–40",
AND(D486&gt;=41,D486&lt;=45),"41–45",
AND(D486&gt;=46,D486&lt;=50),"46–50",
AND(D486&gt;=51,D486&lt;=60),"51–60")</f>
        <v>36–40</v>
      </c>
    </row>
    <row r="487" spans="1:14" x14ac:dyDescent="0.35">
      <c r="A487" t="s">
        <v>978</v>
      </c>
      <c r="B487" t="s">
        <v>979</v>
      </c>
      <c r="C487" t="s">
        <v>14</v>
      </c>
      <c r="D487">
        <v>38</v>
      </c>
      <c r="E487" t="s">
        <v>15</v>
      </c>
      <c r="F487" t="s">
        <v>16</v>
      </c>
      <c r="G487" t="s">
        <v>23</v>
      </c>
      <c r="H487" s="1">
        <v>43837</v>
      </c>
      <c r="J487">
        <v>978000</v>
      </c>
      <c r="K487">
        <v>0.3</v>
      </c>
      <c r="L487" t="s">
        <v>24</v>
      </c>
      <c r="M487">
        <f ca="1">IF(ISBLANK(Table1[[#This Row],[Exit]]),DATEDIF(Table1[[#This Row],[Hire]],TODAY(),"Y"),DATEDIF(Table1[[#This Row],[Hire]],Table1[[#This Row],[Exit]],"Y"))</f>
        <v>6</v>
      </c>
      <c r="N487" t="str" cm="1">
        <f t="array" ref="N487">_xlfn.IFS(
AND(D487&gt;=26,D487&lt;=30),"26–30",
AND(D487&gt;=31,D487&lt;=35),"31–35",
AND(D487&gt;=36,D487&lt;=40),"36–40",
AND(D487&gt;=41,D487&lt;=45),"41–45",
AND(D487&gt;=46,D487&lt;=50),"46–50",
AND(D487&gt;=51,D487&lt;=60),"51–60")</f>
        <v>36–40</v>
      </c>
    </row>
    <row r="488" spans="1:14" x14ac:dyDescent="0.35">
      <c r="A488" t="s">
        <v>980</v>
      </c>
      <c r="B488" t="s">
        <v>981</v>
      </c>
      <c r="C488" t="s">
        <v>14</v>
      </c>
      <c r="D488">
        <v>45</v>
      </c>
      <c r="E488" t="s">
        <v>15</v>
      </c>
      <c r="F488" t="s">
        <v>16</v>
      </c>
      <c r="G488" t="s">
        <v>34</v>
      </c>
      <c r="H488" s="1">
        <v>45206</v>
      </c>
      <c r="J488">
        <v>980000</v>
      </c>
      <c r="K488">
        <v>0</v>
      </c>
      <c r="L488" t="s">
        <v>24</v>
      </c>
      <c r="M488">
        <f ca="1">IF(ISBLANK(Table1[[#This Row],[Exit]]),DATEDIF(Table1[[#This Row],[Hire]],TODAY(),"Y"),DATEDIF(Table1[[#This Row],[Hire]],Table1[[#This Row],[Exit]],"Y"))</f>
        <v>2</v>
      </c>
      <c r="N488" t="str" cm="1">
        <f t="array" ref="N488">_xlfn.IFS(
AND(D488&gt;=26,D488&lt;=30),"26–30",
AND(D488&gt;=31,D488&lt;=35),"31–35",
AND(D488&gt;=36,D488&lt;=40),"36–40",
AND(D488&gt;=41,D488&lt;=45),"41–45",
AND(D488&gt;=46,D488&lt;=50),"46–50",
AND(D488&gt;=51,D488&lt;=60),"51–60")</f>
        <v>41–45</v>
      </c>
    </row>
    <row r="489" spans="1:14" x14ac:dyDescent="0.35">
      <c r="A489" t="s">
        <v>982</v>
      </c>
      <c r="B489" t="s">
        <v>983</v>
      </c>
      <c r="C489" t="s">
        <v>14</v>
      </c>
      <c r="D489">
        <v>51</v>
      </c>
      <c r="E489" t="s">
        <v>42</v>
      </c>
      <c r="F489" t="s">
        <v>43</v>
      </c>
      <c r="G489" t="s">
        <v>34</v>
      </c>
      <c r="H489" s="1">
        <v>44487</v>
      </c>
      <c r="J489">
        <v>982000</v>
      </c>
      <c r="K489">
        <v>0</v>
      </c>
      <c r="L489" t="s">
        <v>24</v>
      </c>
      <c r="M489">
        <f ca="1">IF(ISBLANK(Table1[[#This Row],[Exit]]),DATEDIF(Table1[[#This Row],[Hire]],TODAY(),"Y"),DATEDIF(Table1[[#This Row],[Hire]],Table1[[#This Row],[Exit]],"Y"))</f>
        <v>4</v>
      </c>
      <c r="N489" t="str" cm="1">
        <f t="array" ref="N489">_xlfn.IFS(
AND(D489&gt;=26,D489&lt;=30),"26–30",
AND(D489&gt;=31,D489&lt;=35),"31–35",
AND(D489&gt;=36,D489&lt;=40),"36–40",
AND(D489&gt;=41,D489&lt;=45),"41–45",
AND(D489&gt;=46,D489&lt;=50),"46–50",
AND(D489&gt;=51,D489&lt;=60),"51–60")</f>
        <v>51–60</v>
      </c>
    </row>
    <row r="490" spans="1:14" x14ac:dyDescent="0.35">
      <c r="A490" t="s">
        <v>984</v>
      </c>
      <c r="B490" t="s">
        <v>985</v>
      </c>
      <c r="C490" t="s">
        <v>21</v>
      </c>
      <c r="D490">
        <v>56</v>
      </c>
      <c r="E490" t="s">
        <v>42</v>
      </c>
      <c r="F490" t="s">
        <v>46</v>
      </c>
      <c r="G490" t="s">
        <v>23</v>
      </c>
      <c r="H490" s="1">
        <v>44791</v>
      </c>
      <c r="J490">
        <v>984000</v>
      </c>
      <c r="K490">
        <v>0.05</v>
      </c>
      <c r="L490" t="s">
        <v>24</v>
      </c>
      <c r="M490">
        <f ca="1">IF(ISBLANK(Table1[[#This Row],[Exit]]),DATEDIF(Table1[[#This Row],[Hire]],TODAY(),"Y"),DATEDIF(Table1[[#This Row],[Hire]],Table1[[#This Row],[Exit]],"Y"))</f>
        <v>3</v>
      </c>
      <c r="N490" t="str" cm="1">
        <f t="array" ref="N490">_xlfn.IFS(
AND(D490&gt;=26,D490&lt;=30),"26–30",
AND(D490&gt;=31,D490&lt;=35),"31–35",
AND(D490&gt;=36,D490&lt;=40),"36–40",
AND(D490&gt;=41,D490&lt;=45),"41–45",
AND(D490&gt;=46,D490&lt;=50),"46–50",
AND(D490&gt;=51,D490&lt;=60),"51–60")</f>
        <v>51–60</v>
      </c>
    </row>
    <row r="491" spans="1:14" x14ac:dyDescent="0.35">
      <c r="A491" t="s">
        <v>986</v>
      </c>
      <c r="B491" t="s">
        <v>987</v>
      </c>
      <c r="C491" t="s">
        <v>21</v>
      </c>
      <c r="D491">
        <v>53</v>
      </c>
      <c r="E491" t="s">
        <v>42</v>
      </c>
      <c r="F491" t="s">
        <v>49</v>
      </c>
      <c r="G491" t="s">
        <v>17</v>
      </c>
      <c r="H491" s="1">
        <v>45440</v>
      </c>
      <c r="J491">
        <v>986000</v>
      </c>
      <c r="K491">
        <v>0.15</v>
      </c>
      <c r="L491" t="s">
        <v>24</v>
      </c>
      <c r="M491">
        <f ca="1">IF(ISBLANK(Table1[[#This Row],[Exit]]),DATEDIF(Table1[[#This Row],[Hire]],TODAY(),"Y"),DATEDIF(Table1[[#This Row],[Hire]],Table1[[#This Row],[Exit]],"Y"))</f>
        <v>1</v>
      </c>
      <c r="N491" t="str" cm="1">
        <f t="array" ref="N491">_xlfn.IFS(
AND(D491&gt;=26,D491&lt;=30),"26–30",
AND(D491&gt;=31,D491&lt;=35),"31–35",
AND(D491&gt;=36,D491&lt;=40),"36–40",
AND(D491&gt;=41,D491&lt;=45),"41–45",
AND(D491&gt;=46,D491&lt;=50),"46–50",
AND(D491&gt;=51,D491&lt;=60),"51–60")</f>
        <v>51–60</v>
      </c>
    </row>
    <row r="492" spans="1:14" x14ac:dyDescent="0.35">
      <c r="A492" t="s">
        <v>988</v>
      </c>
      <c r="B492" t="s">
        <v>989</v>
      </c>
      <c r="C492" t="s">
        <v>14</v>
      </c>
      <c r="D492">
        <v>47</v>
      </c>
      <c r="E492" t="s">
        <v>52</v>
      </c>
      <c r="F492" t="s">
        <v>16</v>
      </c>
      <c r="G492" t="s">
        <v>53</v>
      </c>
      <c r="H492" s="1">
        <v>44811</v>
      </c>
      <c r="I492" s="1">
        <v>45294</v>
      </c>
      <c r="J492">
        <v>988000</v>
      </c>
      <c r="K492">
        <v>0</v>
      </c>
      <c r="L492" t="s">
        <v>18</v>
      </c>
      <c r="M492">
        <f ca="1">IF(ISBLANK(Table1[[#This Row],[Exit]]),DATEDIF(Table1[[#This Row],[Hire]],TODAY(),"Y"),DATEDIF(Table1[[#This Row],[Hire]],Table1[[#This Row],[Exit]],"Y"))</f>
        <v>1</v>
      </c>
      <c r="N492" t="str" cm="1">
        <f t="array" ref="N492">_xlfn.IFS(
AND(D492&gt;=26,D492&lt;=30),"26–30",
AND(D492&gt;=31,D492&lt;=35),"31–35",
AND(D492&gt;=36,D492&lt;=40),"36–40",
AND(D492&gt;=41,D492&lt;=45),"41–45",
AND(D492&gt;=46,D492&lt;=50),"46–50",
AND(D492&gt;=51,D492&lt;=60),"51–60")</f>
        <v>46–50</v>
      </c>
    </row>
    <row r="493" spans="1:14" x14ac:dyDescent="0.35">
      <c r="A493" t="s">
        <v>990</v>
      </c>
      <c r="B493" t="s">
        <v>991</v>
      </c>
      <c r="C493" t="s">
        <v>21</v>
      </c>
      <c r="D493">
        <v>36</v>
      </c>
      <c r="E493" t="s">
        <v>42</v>
      </c>
      <c r="F493" t="s">
        <v>46</v>
      </c>
      <c r="G493" t="s">
        <v>53</v>
      </c>
      <c r="H493" s="1">
        <v>45294</v>
      </c>
      <c r="J493">
        <v>990000</v>
      </c>
      <c r="K493">
        <v>0.36</v>
      </c>
      <c r="L493" t="s">
        <v>24</v>
      </c>
      <c r="M493">
        <f ca="1">IF(ISBLANK(Table1[[#This Row],[Exit]]),DATEDIF(Table1[[#This Row],[Hire]],TODAY(),"Y"),DATEDIF(Table1[[#This Row],[Hire]],Table1[[#This Row],[Exit]],"Y"))</f>
        <v>2</v>
      </c>
      <c r="N493" t="str" cm="1">
        <f t="array" ref="N493">_xlfn.IFS(
AND(D493&gt;=26,D493&lt;=30),"26–30",
AND(D493&gt;=31,D493&lt;=35),"31–35",
AND(D493&gt;=36,D493&lt;=40),"36–40",
AND(D493&gt;=41,D493&lt;=45),"41–45",
AND(D493&gt;=46,D493&lt;=50),"46–50",
AND(D493&gt;=51,D493&lt;=60),"51–60")</f>
        <v>36–40</v>
      </c>
    </row>
    <row r="494" spans="1:14" x14ac:dyDescent="0.35">
      <c r="A494" t="s">
        <v>992</v>
      </c>
      <c r="B494" t="s">
        <v>993</v>
      </c>
      <c r="C494" t="s">
        <v>14</v>
      </c>
      <c r="D494">
        <v>41</v>
      </c>
      <c r="E494" t="s">
        <v>58</v>
      </c>
      <c r="F494" t="s">
        <v>59</v>
      </c>
      <c r="G494" t="s">
        <v>34</v>
      </c>
      <c r="H494" s="1">
        <v>45074</v>
      </c>
      <c r="J494">
        <v>992000</v>
      </c>
      <c r="K494">
        <v>0</v>
      </c>
      <c r="L494" t="s">
        <v>24</v>
      </c>
      <c r="M494">
        <f ca="1">IF(ISBLANK(Table1[[#This Row],[Exit]]),DATEDIF(Table1[[#This Row],[Hire]],TODAY(),"Y"),DATEDIF(Table1[[#This Row],[Hire]],Table1[[#This Row],[Exit]],"Y"))</f>
        <v>2</v>
      </c>
      <c r="N494" t="str" cm="1">
        <f t="array" ref="N494">_xlfn.IFS(
AND(D494&gt;=26,D494&lt;=30),"26–30",
AND(D494&gt;=31,D494&lt;=35),"31–35",
AND(D494&gt;=36,D494&lt;=40),"36–40",
AND(D494&gt;=41,D494&lt;=45),"41–45",
AND(D494&gt;=46,D494&lt;=50),"46–50",
AND(D494&gt;=51,D494&lt;=60),"51–60")</f>
        <v>41–45</v>
      </c>
    </row>
    <row r="495" spans="1:14" x14ac:dyDescent="0.35">
      <c r="A495" t="s">
        <v>60</v>
      </c>
      <c r="B495" t="s">
        <v>994</v>
      </c>
      <c r="C495" t="s">
        <v>14</v>
      </c>
      <c r="D495">
        <v>31</v>
      </c>
      <c r="E495" t="s">
        <v>52</v>
      </c>
      <c r="F495" t="s">
        <v>16</v>
      </c>
      <c r="G495" t="s">
        <v>23</v>
      </c>
      <c r="H495" s="1">
        <v>45245</v>
      </c>
      <c r="J495">
        <v>994000</v>
      </c>
      <c r="K495">
        <v>0</v>
      </c>
      <c r="L495" t="s">
        <v>24</v>
      </c>
      <c r="M495">
        <f ca="1">IF(ISBLANK(Table1[[#This Row],[Exit]]),DATEDIF(Table1[[#This Row],[Hire]],TODAY(),"Y"),DATEDIF(Table1[[#This Row],[Hire]],Table1[[#This Row],[Exit]],"Y"))</f>
        <v>2</v>
      </c>
      <c r="N495" t="str" cm="1">
        <f t="array" ref="N495">_xlfn.IFS(
AND(D495&gt;=26,D495&lt;=30),"26–30",
AND(D495&gt;=31,D495&lt;=35),"31–35",
AND(D495&gt;=36,D495&lt;=40),"36–40",
AND(D495&gt;=41,D495&lt;=45),"41–45",
AND(D495&gt;=46,D495&lt;=50),"46–50",
AND(D495&gt;=51,D495&lt;=60),"51–60")</f>
        <v>31–35</v>
      </c>
    </row>
    <row r="496" spans="1:14" x14ac:dyDescent="0.35">
      <c r="A496" t="s">
        <v>995</v>
      </c>
      <c r="B496" t="s">
        <v>996</v>
      </c>
      <c r="C496" t="s">
        <v>14</v>
      </c>
      <c r="D496">
        <v>31</v>
      </c>
      <c r="E496" t="s">
        <v>52</v>
      </c>
      <c r="F496" t="s">
        <v>16</v>
      </c>
      <c r="G496" t="s">
        <v>34</v>
      </c>
      <c r="H496" s="1">
        <v>43851</v>
      </c>
      <c r="J496">
        <v>996000</v>
      </c>
      <c r="K496">
        <v>0.31</v>
      </c>
      <c r="L496" t="s">
        <v>24</v>
      </c>
      <c r="M496">
        <f ca="1">IF(ISBLANK(Table1[[#This Row],[Exit]]),DATEDIF(Table1[[#This Row],[Hire]],TODAY(),"Y"),DATEDIF(Table1[[#This Row],[Hire]],Table1[[#This Row],[Exit]],"Y"))</f>
        <v>6</v>
      </c>
      <c r="N496" t="str" cm="1">
        <f t="array" ref="N496">_xlfn.IFS(
AND(D496&gt;=26,D496&lt;=30),"26–30",
AND(D496&gt;=31,D496&lt;=35),"31–35",
AND(D496&gt;=36,D496&lt;=40),"36–40",
AND(D496&gt;=41,D496&lt;=45),"41–45",
AND(D496&gt;=46,D496&lt;=50),"46–50",
AND(D496&gt;=51,D496&lt;=60),"51–60")</f>
        <v>31–35</v>
      </c>
    </row>
    <row r="497" spans="1:14" x14ac:dyDescent="0.35">
      <c r="A497" t="s">
        <v>125</v>
      </c>
      <c r="B497" t="s">
        <v>997</v>
      </c>
      <c r="C497" t="s">
        <v>41</v>
      </c>
      <c r="D497">
        <v>38</v>
      </c>
      <c r="E497" t="s">
        <v>66</v>
      </c>
      <c r="F497" t="s">
        <v>16</v>
      </c>
      <c r="G497" t="s">
        <v>17</v>
      </c>
      <c r="H497" s="1">
        <v>45206</v>
      </c>
      <c r="J497">
        <v>998000</v>
      </c>
      <c r="K497">
        <v>0.09</v>
      </c>
      <c r="L497" t="s">
        <v>24</v>
      </c>
      <c r="M497">
        <f ca="1">IF(ISBLANK(Table1[[#This Row],[Exit]]),DATEDIF(Table1[[#This Row],[Hire]],TODAY(),"Y"),DATEDIF(Table1[[#This Row],[Hire]],Table1[[#This Row],[Exit]],"Y"))</f>
        <v>2</v>
      </c>
      <c r="N497" t="str" cm="1">
        <f t="array" ref="N497">_xlfn.IFS(
AND(D497&gt;=26,D497&lt;=30),"26–30",
AND(D497&gt;=31,D497&lt;=35),"31–35",
AND(D497&gt;=36,D497&lt;=40),"36–40",
AND(D497&gt;=41,D497&lt;=45),"41–45",
AND(D497&gt;=46,D497&lt;=50),"46–50",
AND(D497&gt;=51,D497&lt;=60),"51–60")</f>
        <v>36–40</v>
      </c>
    </row>
    <row r="498" spans="1:14" x14ac:dyDescent="0.35">
      <c r="A498" t="s">
        <v>998</v>
      </c>
      <c r="B498" t="s">
        <v>999</v>
      </c>
      <c r="C498" t="s">
        <v>14</v>
      </c>
      <c r="D498">
        <v>31</v>
      </c>
      <c r="E498" t="s">
        <v>58</v>
      </c>
      <c r="F498" t="s">
        <v>59</v>
      </c>
      <c r="G498" t="s">
        <v>23</v>
      </c>
      <c r="H498" s="1">
        <v>45401</v>
      </c>
      <c r="J498">
        <v>1000000</v>
      </c>
      <c r="K498">
        <v>0.1</v>
      </c>
      <c r="L498" t="s">
        <v>24</v>
      </c>
      <c r="M498">
        <f ca="1">IF(ISBLANK(Table1[[#This Row],[Exit]]),DATEDIF(Table1[[#This Row],[Hire]],TODAY(),"Y"),DATEDIF(Table1[[#This Row],[Hire]],Table1[[#This Row],[Exit]],"Y"))</f>
        <v>1</v>
      </c>
      <c r="N498" t="str" cm="1">
        <f t="array" ref="N498">_xlfn.IFS(
AND(D498&gt;=26,D498&lt;=30),"26–30",
AND(D498&gt;=31,D498&lt;=35),"31–35",
AND(D498&gt;=36,D498&lt;=40),"36–40",
AND(D498&gt;=41,D498&lt;=45),"41–45",
AND(D498&gt;=46,D498&lt;=50),"46–50",
AND(D498&gt;=51,D498&lt;=60),"51–60")</f>
        <v>31–35</v>
      </c>
    </row>
    <row r="499" spans="1:14" x14ac:dyDescent="0.35">
      <c r="A499" t="s">
        <v>1000</v>
      </c>
      <c r="B499" t="s">
        <v>1001</v>
      </c>
      <c r="C499" t="s">
        <v>41</v>
      </c>
      <c r="D499">
        <v>39</v>
      </c>
      <c r="E499" t="s">
        <v>66</v>
      </c>
      <c r="F499" t="s">
        <v>16</v>
      </c>
      <c r="G499" t="s">
        <v>34</v>
      </c>
      <c r="H499" s="1">
        <v>44083</v>
      </c>
      <c r="J499">
        <v>1002000</v>
      </c>
      <c r="K499">
        <v>0</v>
      </c>
      <c r="L499" t="s">
        <v>24</v>
      </c>
      <c r="M499">
        <f ca="1">IF(ISBLANK(Table1[[#This Row],[Exit]]),DATEDIF(Table1[[#This Row],[Hire]],TODAY(),"Y"),DATEDIF(Table1[[#This Row],[Hire]],Table1[[#This Row],[Exit]],"Y"))</f>
        <v>5</v>
      </c>
      <c r="N499" t="str" cm="1">
        <f t="array" ref="N499">_xlfn.IFS(
AND(D499&gt;=26,D499&lt;=30),"26–30",
AND(D499&gt;=31,D499&lt;=35),"31–35",
AND(D499&gt;=36,D499&lt;=40),"36–40",
AND(D499&gt;=41,D499&lt;=45),"41–45",
AND(D499&gt;=46,D499&lt;=50),"46–50",
AND(D499&gt;=51,D499&lt;=60),"51–60")</f>
        <v>36–40</v>
      </c>
    </row>
    <row r="500" spans="1:14" x14ac:dyDescent="0.35">
      <c r="A500" t="s">
        <v>1002</v>
      </c>
      <c r="B500" t="s">
        <v>1003</v>
      </c>
      <c r="C500" t="s">
        <v>14</v>
      </c>
      <c r="D500">
        <v>31</v>
      </c>
      <c r="E500" t="s">
        <v>66</v>
      </c>
      <c r="F500" t="s">
        <v>16</v>
      </c>
      <c r="G500" t="s">
        <v>53</v>
      </c>
      <c r="H500" s="1">
        <v>45233</v>
      </c>
      <c r="J500">
        <v>1004000</v>
      </c>
      <c r="K500">
        <v>0</v>
      </c>
      <c r="L500" t="s">
        <v>24</v>
      </c>
      <c r="M500">
        <f ca="1">IF(ISBLANK(Table1[[#This Row],[Exit]]),DATEDIF(Table1[[#This Row],[Hire]],TODAY(),"Y"),DATEDIF(Table1[[#This Row],[Hire]],Table1[[#This Row],[Exit]],"Y"))</f>
        <v>2</v>
      </c>
      <c r="N500" t="str" cm="1">
        <f t="array" ref="N500">_xlfn.IFS(
AND(D500&gt;=26,D500&lt;=30),"26–30",
AND(D500&gt;=31,D500&lt;=35),"31–35",
AND(D500&gt;=36,D500&lt;=40),"36–40",
AND(D500&gt;=41,D500&lt;=45),"41–45",
AND(D500&gt;=46,D500&lt;=50),"46–50",
AND(D500&gt;=51,D500&lt;=60),"51–60")</f>
        <v>31–35</v>
      </c>
    </row>
    <row r="501" spans="1:14" x14ac:dyDescent="0.35">
      <c r="A501" t="s">
        <v>1004</v>
      </c>
      <c r="B501" t="s">
        <v>1005</v>
      </c>
      <c r="C501" t="s">
        <v>21</v>
      </c>
      <c r="D501">
        <v>45</v>
      </c>
      <c r="E501" t="s">
        <v>58</v>
      </c>
      <c r="F501" t="s">
        <v>59</v>
      </c>
      <c r="G501" t="s">
        <v>53</v>
      </c>
      <c r="H501" s="1">
        <v>45412</v>
      </c>
      <c r="J501">
        <v>1006000</v>
      </c>
      <c r="K501">
        <v>0.06</v>
      </c>
      <c r="L501" t="s">
        <v>24</v>
      </c>
      <c r="M501">
        <f ca="1">IF(ISBLANK(Table1[[#This Row],[Exit]]),DATEDIF(Table1[[#This Row],[Hire]],TODAY(),"Y"),DATEDIF(Table1[[#This Row],[Hire]],Table1[[#This Row],[Exit]],"Y"))</f>
        <v>1</v>
      </c>
      <c r="N501" t="str" cm="1">
        <f t="array" ref="N501">_xlfn.IFS(
AND(D501&gt;=26,D501&lt;=30),"26–30",
AND(D501&gt;=31,D501&lt;=35),"31–35",
AND(D501&gt;=36,D501&lt;=40),"36–40",
AND(D501&gt;=41,D501&lt;=45),"41–45",
AND(D501&gt;=46,D501&lt;=50),"46–50",
AND(D501&gt;=51,D501&lt;=60),"51–60")</f>
        <v>41–45</v>
      </c>
    </row>
    <row r="502" spans="1:14" x14ac:dyDescent="0.35">
      <c r="A502" t="s">
        <v>1006</v>
      </c>
      <c r="B502" t="s">
        <v>1007</v>
      </c>
      <c r="C502" t="s">
        <v>21</v>
      </c>
      <c r="D502">
        <v>50</v>
      </c>
      <c r="E502" t="s">
        <v>15</v>
      </c>
      <c r="F502" t="s">
        <v>16</v>
      </c>
      <c r="G502" t="s">
        <v>53</v>
      </c>
      <c r="H502" s="1">
        <v>43887</v>
      </c>
      <c r="J502">
        <v>1008000</v>
      </c>
      <c r="K502">
        <v>0</v>
      </c>
      <c r="L502" t="s">
        <v>24</v>
      </c>
      <c r="M502">
        <f ca="1">IF(ISBLANK(Table1[[#This Row],[Exit]]),DATEDIF(Table1[[#This Row],[Hire]],TODAY(),"Y"),DATEDIF(Table1[[#This Row],[Hire]],Table1[[#This Row],[Exit]],"Y"))</f>
        <v>5</v>
      </c>
      <c r="N502" t="str" cm="1">
        <f t="array" ref="N502">_xlfn.IFS(
AND(D502&gt;=26,D502&lt;=30),"26–30",
AND(D502&gt;=31,D502&lt;=35),"31–35",
AND(D502&gt;=36,D502&lt;=40),"36–40",
AND(D502&gt;=41,D502&lt;=45),"41–45",
AND(D502&gt;=46,D502&lt;=50),"46–50",
AND(D502&gt;=51,D502&lt;=60),"51–60")</f>
        <v>46–50</v>
      </c>
    </row>
    <row r="503" spans="1:14" x14ac:dyDescent="0.35">
      <c r="A503" t="s">
        <v>945</v>
      </c>
      <c r="B503" t="s">
        <v>1008</v>
      </c>
      <c r="C503" t="s">
        <v>21</v>
      </c>
      <c r="D503">
        <v>36</v>
      </c>
      <c r="E503" t="s">
        <v>22</v>
      </c>
      <c r="F503" t="s">
        <v>16</v>
      </c>
      <c r="G503" t="s">
        <v>53</v>
      </c>
      <c r="H503" s="1">
        <v>44815</v>
      </c>
      <c r="J503">
        <v>1010000</v>
      </c>
      <c r="K503">
        <v>0.09</v>
      </c>
      <c r="L503" t="s">
        <v>24</v>
      </c>
      <c r="M503">
        <f ca="1">IF(ISBLANK(Table1[[#This Row],[Exit]]),DATEDIF(Table1[[#This Row],[Hire]],TODAY(),"Y"),DATEDIF(Table1[[#This Row],[Hire]],Table1[[#This Row],[Exit]],"Y"))</f>
        <v>3</v>
      </c>
      <c r="N503" t="str" cm="1">
        <f t="array" ref="N503">_xlfn.IFS(
AND(D503&gt;=26,D503&lt;=30),"26–30",
AND(D503&gt;=31,D503&lt;=35),"31–35",
AND(D503&gt;=36,D503&lt;=40),"36–40",
AND(D503&gt;=41,D503&lt;=45),"41–45",
AND(D503&gt;=46,D503&lt;=50),"46–50",
AND(D503&gt;=51,D503&lt;=60),"51–60")</f>
        <v>36–40</v>
      </c>
    </row>
    <row r="504" spans="1:14" x14ac:dyDescent="0.35">
      <c r="A504" t="s">
        <v>1009</v>
      </c>
      <c r="B504" t="s">
        <v>1010</v>
      </c>
      <c r="C504" t="s">
        <v>21</v>
      </c>
      <c r="D504">
        <v>45</v>
      </c>
      <c r="E504" t="s">
        <v>81</v>
      </c>
      <c r="F504" t="s">
        <v>43</v>
      </c>
      <c r="G504" t="s">
        <v>53</v>
      </c>
      <c r="H504" s="1">
        <v>45430</v>
      </c>
      <c r="J504">
        <v>1012000</v>
      </c>
      <c r="K504">
        <v>0</v>
      </c>
      <c r="L504" t="s">
        <v>24</v>
      </c>
      <c r="M504">
        <f ca="1">IF(ISBLANK(Table1[[#This Row],[Exit]]),DATEDIF(Table1[[#This Row],[Hire]],TODAY(),"Y"),DATEDIF(Table1[[#This Row],[Hire]],Table1[[#This Row],[Exit]],"Y"))</f>
        <v>1</v>
      </c>
      <c r="N504" t="str" cm="1">
        <f t="array" ref="N504">_xlfn.IFS(
AND(D504&gt;=26,D504&lt;=30),"26–30",
AND(D504&gt;=31,D504&lt;=35),"31–35",
AND(D504&gt;=36,D504&lt;=40),"36–40",
AND(D504&gt;=41,D504&lt;=45),"41–45",
AND(D504&gt;=46,D504&lt;=50),"46–50",
AND(D504&gt;=51,D504&lt;=60),"51–60")</f>
        <v>41–45</v>
      </c>
    </row>
    <row r="505" spans="1:14" x14ac:dyDescent="0.35">
      <c r="A505" t="s">
        <v>1011</v>
      </c>
      <c r="B505" t="s">
        <v>1012</v>
      </c>
      <c r="C505" t="s">
        <v>14</v>
      </c>
      <c r="D505">
        <v>31</v>
      </c>
      <c r="E505" t="s">
        <v>52</v>
      </c>
      <c r="F505" t="s">
        <v>16</v>
      </c>
      <c r="G505" t="s">
        <v>17</v>
      </c>
      <c r="H505" s="1">
        <v>44509</v>
      </c>
      <c r="J505">
        <v>1014000</v>
      </c>
      <c r="K505">
        <v>0</v>
      </c>
      <c r="L505" t="s">
        <v>24</v>
      </c>
      <c r="M505">
        <f ca="1">IF(ISBLANK(Table1[[#This Row],[Exit]]),DATEDIF(Table1[[#This Row],[Hire]],TODAY(),"Y"),DATEDIF(Table1[[#This Row],[Hire]],Table1[[#This Row],[Exit]],"Y"))</f>
        <v>4</v>
      </c>
      <c r="N505" t="str" cm="1">
        <f t="array" ref="N505">_xlfn.IFS(
AND(D505&gt;=26,D505&lt;=30),"26–30",
AND(D505&gt;=31,D505&lt;=35),"31–35",
AND(D505&gt;=36,D505&lt;=40),"36–40",
AND(D505&gt;=41,D505&lt;=45),"41–45",
AND(D505&gt;=46,D505&lt;=50),"46–50",
AND(D505&gt;=51,D505&lt;=60),"51–60")</f>
        <v>31–35</v>
      </c>
    </row>
    <row r="506" spans="1:14" x14ac:dyDescent="0.35">
      <c r="A506" t="s">
        <v>1013</v>
      </c>
      <c r="B506" t="s">
        <v>1014</v>
      </c>
      <c r="C506" t="s">
        <v>21</v>
      </c>
      <c r="D506">
        <v>41</v>
      </c>
      <c r="E506" t="s">
        <v>66</v>
      </c>
      <c r="F506" t="s">
        <v>16</v>
      </c>
      <c r="G506" t="s">
        <v>23</v>
      </c>
      <c r="H506" s="1">
        <v>43963</v>
      </c>
      <c r="J506">
        <v>1016000</v>
      </c>
      <c r="K506">
        <v>0.32</v>
      </c>
      <c r="L506" t="s">
        <v>24</v>
      </c>
      <c r="M506">
        <f ca="1">IF(ISBLANK(Table1[[#This Row],[Exit]]),DATEDIF(Table1[[#This Row],[Hire]],TODAY(),"Y"),DATEDIF(Table1[[#This Row],[Hire]],Table1[[#This Row],[Exit]],"Y"))</f>
        <v>5</v>
      </c>
      <c r="N506" t="str" cm="1">
        <f t="array" ref="N506">_xlfn.IFS(
AND(D506&gt;=26,D506&lt;=30),"26–30",
AND(D506&gt;=31,D506&lt;=35),"31–35",
AND(D506&gt;=36,D506&lt;=40),"36–40",
AND(D506&gt;=41,D506&lt;=45),"41–45",
AND(D506&gt;=46,D506&lt;=50),"46–50",
AND(D506&gt;=51,D506&lt;=60),"51–60")</f>
        <v>41–45</v>
      </c>
    </row>
    <row r="507" spans="1:14" x14ac:dyDescent="0.35">
      <c r="A507" t="s">
        <v>1015</v>
      </c>
      <c r="B507" t="s">
        <v>1016</v>
      </c>
      <c r="C507" t="s">
        <v>14</v>
      </c>
      <c r="D507">
        <v>47</v>
      </c>
      <c r="E507" t="s">
        <v>31</v>
      </c>
      <c r="F507" t="s">
        <v>16</v>
      </c>
      <c r="G507" t="s">
        <v>53</v>
      </c>
      <c r="H507" s="1">
        <v>44815</v>
      </c>
      <c r="J507">
        <v>1018000</v>
      </c>
      <c r="K507">
        <v>0.11</v>
      </c>
      <c r="L507" t="s">
        <v>24</v>
      </c>
      <c r="M507">
        <f ca="1">IF(ISBLANK(Table1[[#This Row],[Exit]]),DATEDIF(Table1[[#This Row],[Hire]],TODAY(),"Y"),DATEDIF(Table1[[#This Row],[Hire]],Table1[[#This Row],[Exit]],"Y"))</f>
        <v>3</v>
      </c>
      <c r="N507" t="str" cm="1">
        <f t="array" ref="N507">_xlfn.IFS(
AND(D507&gt;=26,D507&lt;=30),"26–30",
AND(D507&gt;=31,D507&lt;=35),"31–35",
AND(D507&gt;=36,D507&lt;=40),"36–40",
AND(D507&gt;=41,D507&lt;=45),"41–45",
AND(D507&gt;=46,D507&lt;=50),"46–50",
AND(D507&gt;=51,D507&lt;=60),"51–60")</f>
        <v>46–50</v>
      </c>
    </row>
    <row r="508" spans="1:14" x14ac:dyDescent="0.35">
      <c r="A508" t="s">
        <v>1017</v>
      </c>
      <c r="B508" t="s">
        <v>1018</v>
      </c>
      <c r="C508" t="s">
        <v>41</v>
      </c>
      <c r="D508">
        <v>38</v>
      </c>
      <c r="E508" t="s">
        <v>81</v>
      </c>
      <c r="F508" t="s">
        <v>49</v>
      </c>
      <c r="G508" t="s">
        <v>34</v>
      </c>
      <c r="H508" s="1">
        <v>44857</v>
      </c>
      <c r="J508">
        <v>1020000</v>
      </c>
      <c r="K508">
        <v>0.3</v>
      </c>
      <c r="L508" t="s">
        <v>24</v>
      </c>
      <c r="M508">
        <f ca="1">IF(ISBLANK(Table1[[#This Row],[Exit]]),DATEDIF(Table1[[#This Row],[Hire]],TODAY(),"Y"),DATEDIF(Table1[[#This Row],[Hire]],Table1[[#This Row],[Exit]],"Y"))</f>
        <v>3</v>
      </c>
      <c r="N508" t="str" cm="1">
        <f t="array" ref="N508">_xlfn.IFS(
AND(D508&gt;=26,D508&lt;=30),"26–30",
AND(D508&gt;=31,D508&lt;=35),"31–35",
AND(D508&gt;=36,D508&lt;=40),"36–40",
AND(D508&gt;=41,D508&lt;=45),"41–45",
AND(D508&gt;=46,D508&lt;=50),"46–50",
AND(D508&gt;=51,D508&lt;=60),"51–60")</f>
        <v>36–40</v>
      </c>
    </row>
    <row r="509" spans="1:14" x14ac:dyDescent="0.35">
      <c r="A509" t="s">
        <v>1019</v>
      </c>
      <c r="B509" t="s">
        <v>1020</v>
      </c>
      <c r="C509" t="s">
        <v>14</v>
      </c>
      <c r="D509">
        <v>40</v>
      </c>
      <c r="E509" t="s">
        <v>92</v>
      </c>
      <c r="F509" t="s">
        <v>59</v>
      </c>
      <c r="G509" t="s">
        <v>53</v>
      </c>
      <c r="H509" s="1">
        <v>45527</v>
      </c>
      <c r="J509">
        <v>1022000</v>
      </c>
      <c r="K509">
        <v>0</v>
      </c>
      <c r="L509" t="s">
        <v>24</v>
      </c>
      <c r="M509">
        <f ca="1">IF(ISBLANK(Table1[[#This Row],[Exit]]),DATEDIF(Table1[[#This Row],[Hire]],TODAY(),"Y"),DATEDIF(Table1[[#This Row],[Hire]],Table1[[#This Row],[Exit]],"Y"))</f>
        <v>1</v>
      </c>
      <c r="N509" t="str" cm="1">
        <f t="array" ref="N509">_xlfn.IFS(
AND(D509&gt;=26,D509&lt;=30),"26–30",
AND(D509&gt;=31,D509&lt;=35),"31–35",
AND(D509&gt;=36,D509&lt;=40),"36–40",
AND(D509&gt;=41,D509&lt;=45),"41–45",
AND(D509&gt;=46,D509&lt;=50),"46–50",
AND(D509&gt;=51,D509&lt;=60),"51–60")</f>
        <v>36–40</v>
      </c>
    </row>
    <row r="510" spans="1:14" x14ac:dyDescent="0.35">
      <c r="A510" t="s">
        <v>1021</v>
      </c>
      <c r="B510" t="s">
        <v>1022</v>
      </c>
      <c r="C510" t="s">
        <v>21</v>
      </c>
      <c r="D510">
        <v>45</v>
      </c>
      <c r="E510" t="s">
        <v>81</v>
      </c>
      <c r="F510" t="s">
        <v>46</v>
      </c>
      <c r="G510" t="s">
        <v>23</v>
      </c>
      <c r="H510" s="1">
        <v>45237</v>
      </c>
      <c r="J510">
        <v>1024000</v>
      </c>
      <c r="K510">
        <v>0</v>
      </c>
      <c r="L510" t="s">
        <v>24</v>
      </c>
      <c r="M510">
        <f ca="1">IF(ISBLANK(Table1[[#This Row],[Exit]]),DATEDIF(Table1[[#This Row],[Hire]],TODAY(),"Y"),DATEDIF(Table1[[#This Row],[Hire]],Table1[[#This Row],[Exit]],"Y"))</f>
        <v>2</v>
      </c>
      <c r="N510" t="str" cm="1">
        <f t="array" ref="N510">_xlfn.IFS(
AND(D510&gt;=26,D510&lt;=30),"26–30",
AND(D510&gt;=31,D510&lt;=35),"31–35",
AND(D510&gt;=36,D510&lt;=40),"36–40",
AND(D510&gt;=41,D510&lt;=45),"41–45",
AND(D510&gt;=46,D510&lt;=50),"46–50",
AND(D510&gt;=51,D510&lt;=60),"51–60")</f>
        <v>41–45</v>
      </c>
    </row>
    <row r="511" spans="1:14" x14ac:dyDescent="0.35">
      <c r="A511" t="s">
        <v>1023</v>
      </c>
      <c r="B511" t="s">
        <v>1024</v>
      </c>
      <c r="C511" t="s">
        <v>14</v>
      </c>
      <c r="D511">
        <v>31</v>
      </c>
      <c r="E511" t="s">
        <v>22</v>
      </c>
      <c r="F511" t="s">
        <v>16</v>
      </c>
      <c r="G511" t="s">
        <v>34</v>
      </c>
      <c r="H511" s="1">
        <v>45206</v>
      </c>
      <c r="J511">
        <v>1026000</v>
      </c>
      <c r="K511">
        <v>0.08</v>
      </c>
      <c r="L511" t="s">
        <v>24</v>
      </c>
      <c r="M511">
        <f ca="1">IF(ISBLANK(Table1[[#This Row],[Exit]]),DATEDIF(Table1[[#This Row],[Hire]],TODAY(),"Y"),DATEDIF(Table1[[#This Row],[Hire]],Table1[[#This Row],[Exit]],"Y"))</f>
        <v>2</v>
      </c>
      <c r="N511" t="str" cm="1">
        <f t="array" ref="N511">_xlfn.IFS(
AND(D511&gt;=26,D511&lt;=30),"26–30",
AND(D511&gt;=31,D511&lt;=35),"31–35",
AND(D511&gt;=36,D511&lt;=40),"36–40",
AND(D511&gt;=41,D511&lt;=45),"41–45",
AND(D511&gt;=46,D511&lt;=50),"46–50",
AND(D511&gt;=51,D511&lt;=60),"51–60")</f>
        <v>31–35</v>
      </c>
    </row>
    <row r="512" spans="1:14" x14ac:dyDescent="0.35">
      <c r="A512" t="s">
        <v>1025</v>
      </c>
      <c r="B512" t="s">
        <v>1026</v>
      </c>
      <c r="C512" t="s">
        <v>14</v>
      </c>
      <c r="D512">
        <v>35</v>
      </c>
      <c r="E512" t="s">
        <v>92</v>
      </c>
      <c r="F512" t="s">
        <v>59</v>
      </c>
      <c r="G512" t="s">
        <v>34</v>
      </c>
      <c r="H512" s="1">
        <v>44677</v>
      </c>
      <c r="J512">
        <v>1028000</v>
      </c>
      <c r="K512">
        <v>0</v>
      </c>
      <c r="L512" t="s">
        <v>24</v>
      </c>
      <c r="M512">
        <f ca="1">IF(ISBLANK(Table1[[#This Row],[Exit]]),DATEDIF(Table1[[#This Row],[Hire]],TODAY(),"Y"),DATEDIF(Table1[[#This Row],[Hire]],Table1[[#This Row],[Exit]],"Y"))</f>
        <v>3</v>
      </c>
      <c r="N512" t="str" cm="1">
        <f t="array" ref="N512">_xlfn.IFS(
AND(D512&gt;=26,D512&lt;=30),"26–30",
AND(D512&gt;=31,D512&lt;=35),"31–35",
AND(D512&gt;=36,D512&lt;=40),"36–40",
AND(D512&gt;=41,D512&lt;=45),"41–45",
AND(D512&gt;=46,D512&lt;=50),"46–50",
AND(D512&gt;=51,D512&lt;=60),"51–60")</f>
        <v>31–35</v>
      </c>
    </row>
    <row r="513" spans="1:14" x14ac:dyDescent="0.35">
      <c r="A513" t="s">
        <v>1027</v>
      </c>
      <c r="B513" t="s">
        <v>1028</v>
      </c>
      <c r="C513" t="s">
        <v>14</v>
      </c>
      <c r="D513">
        <v>31</v>
      </c>
      <c r="E513" t="s">
        <v>31</v>
      </c>
      <c r="F513" t="s">
        <v>16</v>
      </c>
      <c r="G513" t="s">
        <v>17</v>
      </c>
      <c r="H513" s="1">
        <v>43889</v>
      </c>
      <c r="J513">
        <v>1030000</v>
      </c>
      <c r="K513">
        <v>0.24</v>
      </c>
      <c r="L513" t="s">
        <v>24</v>
      </c>
      <c r="M513">
        <f ca="1">IF(ISBLANK(Table1[[#This Row],[Exit]]),DATEDIF(Table1[[#This Row],[Hire]],TODAY(),"Y"),DATEDIF(Table1[[#This Row],[Hire]],Table1[[#This Row],[Exit]],"Y"))</f>
        <v>5</v>
      </c>
      <c r="N513" t="str" cm="1">
        <f t="array" ref="N513">_xlfn.IFS(
AND(D513&gt;=26,D513&lt;=30),"26–30",
AND(D513&gt;=31,D513&lt;=35),"31–35",
AND(D513&gt;=36,D513&lt;=40),"36–40",
AND(D513&gt;=41,D513&lt;=45),"41–45",
AND(D513&gt;=46,D513&lt;=50),"46–50",
AND(D513&gt;=51,D513&lt;=60),"51–60")</f>
        <v>31–35</v>
      </c>
    </row>
    <row r="514" spans="1:14" x14ac:dyDescent="0.35">
      <c r="A514" t="s">
        <v>1029</v>
      </c>
      <c r="B514" t="s">
        <v>1030</v>
      </c>
      <c r="C514" t="s">
        <v>21</v>
      </c>
      <c r="D514">
        <v>35</v>
      </c>
      <c r="E514" t="s">
        <v>15</v>
      </c>
      <c r="F514" t="s">
        <v>16</v>
      </c>
      <c r="G514" t="s">
        <v>17</v>
      </c>
      <c r="H514" s="1">
        <v>44116</v>
      </c>
      <c r="J514">
        <v>1032000</v>
      </c>
      <c r="K514">
        <v>0.33</v>
      </c>
      <c r="L514" t="s">
        <v>24</v>
      </c>
      <c r="M514">
        <f ca="1">IF(ISBLANK(Table1[[#This Row],[Exit]]),DATEDIF(Table1[[#This Row],[Hire]],TODAY(),"Y"),DATEDIF(Table1[[#This Row],[Hire]],Table1[[#This Row],[Exit]],"Y"))</f>
        <v>5</v>
      </c>
      <c r="N514" t="str" cm="1">
        <f t="array" ref="N514">_xlfn.IFS(
AND(D514&gt;=26,D514&lt;=30),"26–30",
AND(D514&gt;=31,D514&lt;=35),"31–35",
AND(D514&gt;=36,D514&lt;=40),"36–40",
AND(D514&gt;=41,D514&lt;=45),"41–45",
AND(D514&gt;=46,D514&lt;=50),"46–50",
AND(D514&gt;=51,D514&lt;=60),"51–60")</f>
        <v>31–35</v>
      </c>
    </row>
    <row r="515" spans="1:14" x14ac:dyDescent="0.35">
      <c r="A515" t="s">
        <v>1031</v>
      </c>
      <c r="B515" t="s">
        <v>1032</v>
      </c>
      <c r="C515" t="s">
        <v>14</v>
      </c>
      <c r="D515">
        <v>31</v>
      </c>
      <c r="E515" t="s">
        <v>22</v>
      </c>
      <c r="F515" t="s">
        <v>16</v>
      </c>
      <c r="G515" t="s">
        <v>23</v>
      </c>
      <c r="H515" s="1">
        <v>44588</v>
      </c>
      <c r="J515">
        <v>1034000</v>
      </c>
      <c r="K515">
        <v>0</v>
      </c>
      <c r="L515" t="s">
        <v>24</v>
      </c>
      <c r="M515">
        <f ca="1">IF(ISBLANK(Table1[[#This Row],[Exit]]),DATEDIF(Table1[[#This Row],[Hire]],TODAY(),"Y"),DATEDIF(Table1[[#This Row],[Hire]],Table1[[#This Row],[Exit]],"Y"))</f>
        <v>4</v>
      </c>
      <c r="N515" t="str" cm="1">
        <f t="array" ref="N515">_xlfn.IFS(
AND(D515&gt;=26,D515&lt;=30),"26–30",
AND(D515&gt;=31,D515&lt;=35),"31–35",
AND(D515&gt;=36,D515&lt;=40),"36–40",
AND(D515&gt;=41,D515&lt;=45),"41–45",
AND(D515&gt;=46,D515&lt;=50),"46–50",
AND(D515&gt;=51,D515&lt;=60),"51–60")</f>
        <v>31–35</v>
      </c>
    </row>
    <row r="516" spans="1:14" x14ac:dyDescent="0.35">
      <c r="A516" t="s">
        <v>1033</v>
      </c>
      <c r="B516" t="s">
        <v>1034</v>
      </c>
      <c r="C516" t="s">
        <v>21</v>
      </c>
      <c r="D516">
        <v>31</v>
      </c>
      <c r="E516" t="s">
        <v>27</v>
      </c>
      <c r="F516" t="s">
        <v>28</v>
      </c>
      <c r="G516" t="s">
        <v>17</v>
      </c>
      <c r="H516" s="1">
        <v>45337</v>
      </c>
      <c r="J516">
        <v>1036000</v>
      </c>
      <c r="K516">
        <v>7.0000000000000007E-2</v>
      </c>
      <c r="L516" t="s">
        <v>24</v>
      </c>
      <c r="M516">
        <f ca="1">IF(ISBLANK(Table1[[#This Row],[Exit]]),DATEDIF(Table1[[#This Row],[Hire]],TODAY(),"Y"),DATEDIF(Table1[[#This Row],[Hire]],Table1[[#This Row],[Exit]],"Y"))</f>
        <v>1</v>
      </c>
      <c r="N516" t="str" cm="1">
        <f t="array" ref="N516">_xlfn.IFS(
AND(D516&gt;=26,D516&lt;=30),"26–30",
AND(D516&gt;=31,D516&lt;=35),"31–35",
AND(D516&gt;=36,D516&lt;=40),"36–40",
AND(D516&gt;=41,D516&lt;=45),"41–45",
AND(D516&gt;=46,D516&lt;=50),"46–50",
AND(D516&gt;=51,D516&lt;=60),"51–60")</f>
        <v>31–35</v>
      </c>
    </row>
    <row r="517" spans="1:14" x14ac:dyDescent="0.35">
      <c r="A517" t="s">
        <v>1035</v>
      </c>
      <c r="B517" t="s">
        <v>1036</v>
      </c>
      <c r="C517" t="s">
        <v>14</v>
      </c>
      <c r="D517">
        <v>31</v>
      </c>
      <c r="E517" t="s">
        <v>31</v>
      </c>
      <c r="F517" t="s">
        <v>16</v>
      </c>
      <c r="G517" t="s">
        <v>23</v>
      </c>
      <c r="H517" s="1">
        <v>45332</v>
      </c>
      <c r="J517">
        <v>1038000</v>
      </c>
      <c r="K517">
        <v>0.12</v>
      </c>
      <c r="L517" t="s">
        <v>24</v>
      </c>
      <c r="M517">
        <f ca="1">IF(ISBLANK(Table1[[#This Row],[Exit]]),DATEDIF(Table1[[#This Row],[Hire]],TODAY(),"Y"),DATEDIF(Table1[[#This Row],[Hire]],Table1[[#This Row],[Exit]],"Y"))</f>
        <v>1</v>
      </c>
      <c r="N517" t="str" cm="1">
        <f t="array" ref="N517">_xlfn.IFS(
AND(D517&gt;=26,D517&lt;=30),"26–30",
AND(D517&gt;=31,D517&lt;=35),"31–35",
AND(D517&gt;=36,D517&lt;=40),"36–40",
AND(D517&gt;=41,D517&lt;=45),"41–45",
AND(D517&gt;=46,D517&lt;=50),"46–50",
AND(D517&gt;=51,D517&lt;=60),"51–60")</f>
        <v>31–35</v>
      </c>
    </row>
    <row r="518" spans="1:14" x14ac:dyDescent="0.35">
      <c r="A518" t="s">
        <v>1037</v>
      </c>
      <c r="B518" t="s">
        <v>1038</v>
      </c>
      <c r="C518" t="s">
        <v>14</v>
      </c>
      <c r="D518">
        <v>31</v>
      </c>
      <c r="E518" t="s">
        <v>27</v>
      </c>
      <c r="F518" t="s">
        <v>28</v>
      </c>
      <c r="G518" t="s">
        <v>34</v>
      </c>
      <c r="H518" s="1">
        <v>44183</v>
      </c>
      <c r="J518">
        <v>1040000</v>
      </c>
      <c r="K518">
        <v>7.0000000000000007E-2</v>
      </c>
      <c r="L518" t="s">
        <v>24</v>
      </c>
      <c r="M518">
        <f ca="1">IF(ISBLANK(Table1[[#This Row],[Exit]]),DATEDIF(Table1[[#This Row],[Hire]],TODAY(),"Y"),DATEDIF(Table1[[#This Row],[Hire]],Table1[[#This Row],[Exit]],"Y"))</f>
        <v>5</v>
      </c>
      <c r="N518" t="str" cm="1">
        <f t="array" ref="N518">_xlfn.IFS(
AND(D518&gt;=26,D518&lt;=30),"26–30",
AND(D518&gt;=31,D518&lt;=35),"31–35",
AND(D518&gt;=36,D518&lt;=40),"36–40",
AND(D518&gt;=41,D518&lt;=45),"41–45",
AND(D518&gt;=46,D518&lt;=50),"46–50",
AND(D518&gt;=51,D518&lt;=60),"51–60")</f>
        <v>31–35</v>
      </c>
    </row>
    <row r="519" spans="1:14" x14ac:dyDescent="0.35">
      <c r="A519" t="s">
        <v>1039</v>
      </c>
      <c r="B519" t="s">
        <v>1040</v>
      </c>
      <c r="C519" t="s">
        <v>14</v>
      </c>
      <c r="D519">
        <v>36</v>
      </c>
      <c r="E519" t="s">
        <v>15</v>
      </c>
      <c r="F519" t="s">
        <v>16</v>
      </c>
      <c r="G519" t="s">
        <v>23</v>
      </c>
      <c r="H519" s="1">
        <v>43837</v>
      </c>
      <c r="J519">
        <v>1042000</v>
      </c>
      <c r="K519">
        <v>0.2</v>
      </c>
      <c r="L519" t="s">
        <v>24</v>
      </c>
      <c r="M519">
        <f ca="1">IF(ISBLANK(Table1[[#This Row],[Exit]]),DATEDIF(Table1[[#This Row],[Hire]],TODAY(),"Y"),DATEDIF(Table1[[#This Row],[Hire]],Table1[[#This Row],[Exit]],"Y"))</f>
        <v>6</v>
      </c>
      <c r="N519" t="str" cm="1">
        <f t="array" ref="N519">_xlfn.IFS(
AND(D519&gt;=26,D519&lt;=30),"26–30",
AND(D519&gt;=31,D519&lt;=35),"31–35",
AND(D519&gt;=36,D519&lt;=40),"36–40",
AND(D519&gt;=41,D519&lt;=45),"41–45",
AND(D519&gt;=46,D519&lt;=50),"46–50",
AND(D519&gt;=51,D519&lt;=60),"51–60")</f>
        <v>36–40</v>
      </c>
    </row>
    <row r="520" spans="1:14" x14ac:dyDescent="0.35">
      <c r="A520" t="s">
        <v>1041</v>
      </c>
      <c r="B520" t="s">
        <v>1042</v>
      </c>
      <c r="C520" t="s">
        <v>14</v>
      </c>
      <c r="D520">
        <v>45</v>
      </c>
      <c r="E520" t="s">
        <v>15</v>
      </c>
      <c r="F520" t="s">
        <v>16</v>
      </c>
      <c r="G520" t="s">
        <v>34</v>
      </c>
      <c r="H520" s="1">
        <v>45206</v>
      </c>
      <c r="J520">
        <v>1044000</v>
      </c>
      <c r="K520">
        <v>0</v>
      </c>
      <c r="L520" t="s">
        <v>24</v>
      </c>
      <c r="M520">
        <f ca="1">IF(ISBLANK(Table1[[#This Row],[Exit]]),DATEDIF(Table1[[#This Row],[Hire]],TODAY(),"Y"),DATEDIF(Table1[[#This Row],[Hire]],Table1[[#This Row],[Exit]],"Y"))</f>
        <v>2</v>
      </c>
      <c r="N520" t="str" cm="1">
        <f t="array" ref="N520">_xlfn.IFS(
AND(D520&gt;=26,D520&lt;=30),"26–30",
AND(D520&gt;=31,D520&lt;=35),"31–35",
AND(D520&gt;=36,D520&lt;=40),"36–40",
AND(D520&gt;=41,D520&lt;=45),"41–45",
AND(D520&gt;=46,D520&lt;=50),"46–50",
AND(D520&gt;=51,D520&lt;=60),"51–60")</f>
        <v>41–45</v>
      </c>
    </row>
    <row r="521" spans="1:14" x14ac:dyDescent="0.35">
      <c r="A521" t="s">
        <v>183</v>
      </c>
      <c r="B521" t="s">
        <v>1043</v>
      </c>
      <c r="C521" t="s">
        <v>14</v>
      </c>
      <c r="D521">
        <v>37</v>
      </c>
      <c r="E521" t="s">
        <v>42</v>
      </c>
      <c r="F521" t="s">
        <v>43</v>
      </c>
      <c r="G521" t="s">
        <v>34</v>
      </c>
      <c r="H521" s="1">
        <v>44487</v>
      </c>
      <c r="J521">
        <v>1046000</v>
      </c>
      <c r="K521">
        <v>0</v>
      </c>
      <c r="L521" t="s">
        <v>24</v>
      </c>
      <c r="M521">
        <f ca="1">IF(ISBLANK(Table1[[#This Row],[Exit]]),DATEDIF(Table1[[#This Row],[Hire]],TODAY(),"Y"),DATEDIF(Table1[[#This Row],[Hire]],Table1[[#This Row],[Exit]],"Y"))</f>
        <v>4</v>
      </c>
      <c r="N521" t="str" cm="1">
        <f t="array" ref="N521">_xlfn.IFS(
AND(D521&gt;=26,D521&lt;=30),"26–30",
AND(D521&gt;=31,D521&lt;=35),"31–35",
AND(D521&gt;=36,D521&lt;=40),"36–40",
AND(D521&gt;=41,D521&lt;=45),"41–45",
AND(D521&gt;=46,D521&lt;=50),"46–50",
AND(D521&gt;=51,D521&lt;=60),"51–60")</f>
        <v>36–40</v>
      </c>
    </row>
    <row r="522" spans="1:14" x14ac:dyDescent="0.35">
      <c r="A522" t="s">
        <v>1044</v>
      </c>
      <c r="B522" t="s">
        <v>1045</v>
      </c>
      <c r="C522" t="s">
        <v>14</v>
      </c>
      <c r="D522">
        <v>38</v>
      </c>
      <c r="E522" t="s">
        <v>42</v>
      </c>
      <c r="F522" t="s">
        <v>46</v>
      </c>
      <c r="G522" t="s">
        <v>23</v>
      </c>
      <c r="H522" s="1">
        <v>44791</v>
      </c>
      <c r="J522">
        <v>1048000</v>
      </c>
      <c r="K522">
        <v>0</v>
      </c>
      <c r="L522" t="s">
        <v>24</v>
      </c>
      <c r="M522">
        <f ca="1">IF(ISBLANK(Table1[[#This Row],[Exit]]),DATEDIF(Table1[[#This Row],[Hire]],TODAY(),"Y"),DATEDIF(Table1[[#This Row],[Hire]],Table1[[#This Row],[Exit]],"Y"))</f>
        <v>3</v>
      </c>
      <c r="N522" t="str" cm="1">
        <f t="array" ref="N522">_xlfn.IFS(
AND(D522&gt;=26,D522&lt;=30),"26–30",
AND(D522&gt;=31,D522&lt;=35),"31–35",
AND(D522&gt;=36,D522&lt;=40),"36–40",
AND(D522&gt;=41,D522&lt;=45),"41–45",
AND(D522&gt;=46,D522&lt;=50),"46–50",
AND(D522&gt;=51,D522&lt;=60),"51–60")</f>
        <v>36–40</v>
      </c>
    </row>
    <row r="523" spans="1:14" x14ac:dyDescent="0.35">
      <c r="A523" t="s">
        <v>1046</v>
      </c>
      <c r="B523" t="s">
        <v>1047</v>
      </c>
      <c r="C523" t="s">
        <v>21</v>
      </c>
      <c r="D523">
        <v>45</v>
      </c>
      <c r="E523" t="s">
        <v>42</v>
      </c>
      <c r="F523" t="s">
        <v>49</v>
      </c>
      <c r="G523" t="s">
        <v>17</v>
      </c>
      <c r="H523" s="1">
        <v>45440</v>
      </c>
      <c r="J523">
        <v>1050000</v>
      </c>
      <c r="K523">
        <v>0</v>
      </c>
      <c r="L523" t="s">
        <v>24</v>
      </c>
      <c r="M523">
        <f ca="1">IF(ISBLANK(Table1[[#This Row],[Exit]]),DATEDIF(Table1[[#This Row],[Hire]],TODAY(),"Y"),DATEDIF(Table1[[#This Row],[Hire]],Table1[[#This Row],[Exit]],"Y"))</f>
        <v>1</v>
      </c>
      <c r="N523" t="str" cm="1">
        <f t="array" ref="N523">_xlfn.IFS(
AND(D523&gt;=26,D523&lt;=30),"26–30",
AND(D523&gt;=31,D523&lt;=35),"31–35",
AND(D523&gt;=36,D523&lt;=40),"36–40",
AND(D523&gt;=41,D523&lt;=45),"41–45",
AND(D523&gt;=46,D523&lt;=50),"46–50",
AND(D523&gt;=51,D523&lt;=60),"51–60")</f>
        <v>41–45</v>
      </c>
    </row>
    <row r="524" spans="1:14" x14ac:dyDescent="0.35">
      <c r="A524" t="s">
        <v>1048</v>
      </c>
      <c r="B524" t="s">
        <v>1049</v>
      </c>
      <c r="C524" t="s">
        <v>14</v>
      </c>
      <c r="D524">
        <v>51</v>
      </c>
      <c r="E524" t="s">
        <v>52</v>
      </c>
      <c r="F524" t="s">
        <v>16</v>
      </c>
      <c r="G524" t="s">
        <v>53</v>
      </c>
      <c r="H524" s="1">
        <v>44811</v>
      </c>
      <c r="J524">
        <v>1052000</v>
      </c>
      <c r="K524">
        <v>0.35</v>
      </c>
      <c r="L524" t="s">
        <v>24</v>
      </c>
      <c r="M524">
        <f ca="1">IF(ISBLANK(Table1[[#This Row],[Exit]]),DATEDIF(Table1[[#This Row],[Hire]],TODAY(),"Y"),DATEDIF(Table1[[#This Row],[Hire]],Table1[[#This Row],[Exit]],"Y"))</f>
        <v>3</v>
      </c>
      <c r="N524" t="str" cm="1">
        <f t="array" ref="N524">_xlfn.IFS(
AND(D524&gt;=26,D524&lt;=30),"26–30",
AND(D524&gt;=31,D524&lt;=35),"31–35",
AND(D524&gt;=36,D524&lt;=40),"36–40",
AND(D524&gt;=41,D524&lt;=45),"41–45",
AND(D524&gt;=46,D524&lt;=50),"46–50",
AND(D524&gt;=51,D524&lt;=60),"51–60")</f>
        <v>51–60</v>
      </c>
    </row>
    <row r="525" spans="1:14" x14ac:dyDescent="0.35">
      <c r="A525" t="s">
        <v>62</v>
      </c>
      <c r="B525" t="s">
        <v>1050</v>
      </c>
      <c r="C525" t="s">
        <v>21</v>
      </c>
      <c r="D525">
        <v>56</v>
      </c>
      <c r="E525" t="s">
        <v>42</v>
      </c>
      <c r="F525" t="s">
        <v>46</v>
      </c>
      <c r="G525" t="s">
        <v>53</v>
      </c>
      <c r="H525" s="1">
        <v>45294</v>
      </c>
      <c r="J525">
        <v>1054000</v>
      </c>
      <c r="K525">
        <v>0</v>
      </c>
      <c r="L525" t="s">
        <v>24</v>
      </c>
      <c r="M525">
        <f ca="1">IF(ISBLANK(Table1[[#This Row],[Exit]]),DATEDIF(Table1[[#This Row],[Hire]],TODAY(),"Y"),DATEDIF(Table1[[#This Row],[Hire]],Table1[[#This Row],[Exit]],"Y"))</f>
        <v>2</v>
      </c>
      <c r="N525" t="str" cm="1">
        <f t="array" ref="N525">_xlfn.IFS(
AND(D525&gt;=26,D525&lt;=30),"26–30",
AND(D525&gt;=31,D525&lt;=35),"31–35",
AND(D525&gt;=36,D525&lt;=40),"36–40",
AND(D525&gt;=41,D525&lt;=45),"41–45",
AND(D525&gt;=46,D525&lt;=50),"46–50",
AND(D525&gt;=51,D525&lt;=60),"51–60")</f>
        <v>51–60</v>
      </c>
    </row>
    <row r="526" spans="1:14" x14ac:dyDescent="0.35">
      <c r="A526" t="s">
        <v>1051</v>
      </c>
      <c r="B526" t="s">
        <v>1052</v>
      </c>
      <c r="C526" t="s">
        <v>14</v>
      </c>
      <c r="D526">
        <v>53</v>
      </c>
      <c r="E526" t="s">
        <v>58</v>
      </c>
      <c r="F526" t="s">
        <v>59</v>
      </c>
      <c r="G526" t="s">
        <v>34</v>
      </c>
      <c r="H526" s="1">
        <v>45074</v>
      </c>
      <c r="J526">
        <v>1056000</v>
      </c>
      <c r="K526">
        <v>0</v>
      </c>
      <c r="L526" t="s">
        <v>24</v>
      </c>
      <c r="M526">
        <f ca="1">IF(ISBLANK(Table1[[#This Row],[Exit]]),DATEDIF(Table1[[#This Row],[Hire]],TODAY(),"Y"),DATEDIF(Table1[[#This Row],[Hire]],Table1[[#This Row],[Exit]],"Y"))</f>
        <v>2</v>
      </c>
      <c r="N526" t="str" cm="1">
        <f t="array" ref="N526">_xlfn.IFS(
AND(D526&gt;=26,D526&lt;=30),"26–30",
AND(D526&gt;=31,D526&lt;=35),"31–35",
AND(D526&gt;=36,D526&lt;=40),"36–40",
AND(D526&gt;=41,D526&lt;=45),"41–45",
AND(D526&gt;=46,D526&lt;=50),"46–50",
AND(D526&gt;=51,D526&lt;=60),"51–60")</f>
        <v>51–60</v>
      </c>
    </row>
    <row r="527" spans="1:14" x14ac:dyDescent="0.35">
      <c r="A527" t="s">
        <v>1053</v>
      </c>
      <c r="B527" t="s">
        <v>1054</v>
      </c>
      <c r="C527" t="s">
        <v>21</v>
      </c>
      <c r="D527">
        <v>47</v>
      </c>
      <c r="E527" t="s">
        <v>52</v>
      </c>
      <c r="F527" t="s">
        <v>16</v>
      </c>
      <c r="G527" t="s">
        <v>23</v>
      </c>
      <c r="H527" s="1">
        <v>45245</v>
      </c>
      <c r="J527">
        <v>1058000</v>
      </c>
      <c r="K527">
        <v>0</v>
      </c>
      <c r="L527" t="s">
        <v>24</v>
      </c>
      <c r="M527">
        <f ca="1">IF(ISBLANK(Table1[[#This Row],[Exit]]),DATEDIF(Table1[[#This Row],[Hire]],TODAY(),"Y"),DATEDIF(Table1[[#This Row],[Hire]],Table1[[#This Row],[Exit]],"Y"))</f>
        <v>2</v>
      </c>
      <c r="N527" t="str" cm="1">
        <f t="array" ref="N527">_xlfn.IFS(
AND(D527&gt;=26,D527&lt;=30),"26–30",
AND(D527&gt;=31,D527&lt;=35),"31–35",
AND(D527&gt;=36,D527&lt;=40),"36–40",
AND(D527&gt;=41,D527&lt;=45),"41–45",
AND(D527&gt;=46,D527&lt;=50),"46–50",
AND(D527&gt;=51,D527&lt;=60),"51–60")</f>
        <v>46–50</v>
      </c>
    </row>
    <row r="528" spans="1:14" x14ac:dyDescent="0.35">
      <c r="A528" t="s">
        <v>1055</v>
      </c>
      <c r="B528" t="s">
        <v>1056</v>
      </c>
      <c r="C528" t="s">
        <v>21</v>
      </c>
      <c r="D528">
        <v>36</v>
      </c>
      <c r="E528" t="s">
        <v>52</v>
      </c>
      <c r="F528" t="s">
        <v>16</v>
      </c>
      <c r="G528" t="s">
        <v>34</v>
      </c>
      <c r="H528" s="1">
        <v>43851</v>
      </c>
      <c r="J528">
        <v>1060000</v>
      </c>
      <c r="K528">
        <v>0.2</v>
      </c>
      <c r="L528" t="s">
        <v>24</v>
      </c>
      <c r="M528">
        <f ca="1">IF(ISBLANK(Table1[[#This Row],[Exit]]),DATEDIF(Table1[[#This Row],[Hire]],TODAY(),"Y"),DATEDIF(Table1[[#This Row],[Hire]],Table1[[#This Row],[Exit]],"Y"))</f>
        <v>6</v>
      </c>
      <c r="N528" t="str" cm="1">
        <f t="array" ref="N528">_xlfn.IFS(
AND(D528&gt;=26,D528&lt;=30),"26–30",
AND(D528&gt;=31,D528&lt;=35),"31–35",
AND(D528&gt;=36,D528&lt;=40),"36–40",
AND(D528&gt;=41,D528&lt;=45),"41–45",
AND(D528&gt;=46,D528&lt;=50),"46–50",
AND(D528&gt;=51,D528&lt;=60),"51–60")</f>
        <v>36–40</v>
      </c>
    </row>
    <row r="529" spans="1:14" x14ac:dyDescent="0.35">
      <c r="A529" t="s">
        <v>1057</v>
      </c>
      <c r="B529" t="s">
        <v>1058</v>
      </c>
      <c r="C529" t="s">
        <v>41</v>
      </c>
      <c r="D529">
        <v>41</v>
      </c>
      <c r="E529" t="s">
        <v>66</v>
      </c>
      <c r="F529" t="s">
        <v>16</v>
      </c>
      <c r="G529" t="s">
        <v>17</v>
      </c>
      <c r="H529" s="1">
        <v>45206</v>
      </c>
      <c r="J529">
        <v>1062000</v>
      </c>
      <c r="K529">
        <v>0</v>
      </c>
      <c r="L529" t="s">
        <v>24</v>
      </c>
      <c r="M529">
        <f ca="1">IF(ISBLANK(Table1[[#This Row],[Exit]]),DATEDIF(Table1[[#This Row],[Hire]],TODAY(),"Y"),DATEDIF(Table1[[#This Row],[Hire]],Table1[[#This Row],[Exit]],"Y"))</f>
        <v>2</v>
      </c>
      <c r="N529" t="str" cm="1">
        <f t="array" ref="N529">_xlfn.IFS(
AND(D529&gt;=26,D529&lt;=30),"26–30",
AND(D529&gt;=31,D529&lt;=35),"31–35",
AND(D529&gt;=36,D529&lt;=40),"36–40",
AND(D529&gt;=41,D529&lt;=45),"41–45",
AND(D529&gt;=46,D529&lt;=50),"46–50",
AND(D529&gt;=51,D529&lt;=60),"51–60")</f>
        <v>41–45</v>
      </c>
    </row>
    <row r="530" spans="1:14" x14ac:dyDescent="0.35">
      <c r="A530" t="s">
        <v>1059</v>
      </c>
      <c r="B530" t="s">
        <v>1060</v>
      </c>
      <c r="C530" t="s">
        <v>14</v>
      </c>
      <c r="D530">
        <v>31</v>
      </c>
      <c r="E530" t="s">
        <v>58</v>
      </c>
      <c r="F530" t="s">
        <v>59</v>
      </c>
      <c r="G530" t="s">
        <v>23</v>
      </c>
      <c r="H530" s="1">
        <v>45401</v>
      </c>
      <c r="J530">
        <v>1064000</v>
      </c>
      <c r="K530">
        <v>0.12</v>
      </c>
      <c r="L530" t="s">
        <v>24</v>
      </c>
      <c r="M530">
        <f ca="1">IF(ISBLANK(Table1[[#This Row],[Exit]]),DATEDIF(Table1[[#This Row],[Hire]],TODAY(),"Y"),DATEDIF(Table1[[#This Row],[Hire]],Table1[[#This Row],[Exit]],"Y"))</f>
        <v>1</v>
      </c>
      <c r="N530" t="str" cm="1">
        <f t="array" ref="N530">_xlfn.IFS(
AND(D530&gt;=26,D530&lt;=30),"26–30",
AND(D530&gt;=31,D530&lt;=35),"31–35",
AND(D530&gt;=36,D530&lt;=40),"36–40",
AND(D530&gt;=41,D530&lt;=45),"41–45",
AND(D530&gt;=46,D530&lt;=50),"46–50",
AND(D530&gt;=51,D530&lt;=60),"51–60")</f>
        <v>31–35</v>
      </c>
    </row>
    <row r="531" spans="1:14" x14ac:dyDescent="0.35">
      <c r="A531" t="s">
        <v>1061</v>
      </c>
      <c r="B531" t="s">
        <v>1062</v>
      </c>
      <c r="C531" t="s">
        <v>14</v>
      </c>
      <c r="D531">
        <v>31</v>
      </c>
      <c r="E531" t="s">
        <v>66</v>
      </c>
      <c r="F531" t="s">
        <v>16</v>
      </c>
      <c r="G531" t="s">
        <v>34</v>
      </c>
      <c r="H531" s="1">
        <v>44083</v>
      </c>
      <c r="J531">
        <v>1066000</v>
      </c>
      <c r="K531">
        <v>0</v>
      </c>
      <c r="L531" t="s">
        <v>24</v>
      </c>
      <c r="M531">
        <f ca="1">IF(ISBLANK(Table1[[#This Row],[Exit]]),DATEDIF(Table1[[#This Row],[Hire]],TODAY(),"Y"),DATEDIF(Table1[[#This Row],[Hire]],Table1[[#This Row],[Exit]],"Y"))</f>
        <v>5</v>
      </c>
      <c r="N531" t="str" cm="1">
        <f t="array" ref="N531">_xlfn.IFS(
AND(D531&gt;=26,D531&lt;=30),"26–30",
AND(D531&gt;=31,D531&lt;=35),"31–35",
AND(D531&gt;=36,D531&lt;=40),"36–40",
AND(D531&gt;=41,D531&lt;=45),"41–45",
AND(D531&gt;=46,D531&lt;=50),"46–50",
AND(D531&gt;=51,D531&lt;=60),"51–60")</f>
        <v>31–35</v>
      </c>
    </row>
    <row r="532" spans="1:14" x14ac:dyDescent="0.35">
      <c r="A532" t="s">
        <v>167</v>
      </c>
      <c r="B532" t="s">
        <v>1063</v>
      </c>
      <c r="C532" t="s">
        <v>14</v>
      </c>
      <c r="D532">
        <v>38</v>
      </c>
      <c r="E532" t="s">
        <v>66</v>
      </c>
      <c r="F532" t="s">
        <v>16</v>
      </c>
      <c r="G532" t="s">
        <v>53</v>
      </c>
      <c r="H532" s="1">
        <v>45233</v>
      </c>
      <c r="J532">
        <v>1068000</v>
      </c>
      <c r="K532">
        <v>0</v>
      </c>
      <c r="L532" t="s">
        <v>24</v>
      </c>
      <c r="M532">
        <f ca="1">IF(ISBLANK(Table1[[#This Row],[Exit]]),DATEDIF(Table1[[#This Row],[Hire]],TODAY(),"Y"),DATEDIF(Table1[[#This Row],[Hire]],Table1[[#This Row],[Exit]],"Y"))</f>
        <v>2</v>
      </c>
      <c r="N532" t="str" cm="1">
        <f t="array" ref="N532">_xlfn.IFS(
AND(D532&gt;=26,D532&lt;=30),"26–30",
AND(D532&gt;=31,D532&lt;=35),"31–35",
AND(D532&gt;=36,D532&lt;=40),"36–40",
AND(D532&gt;=41,D532&lt;=45),"41–45",
AND(D532&gt;=46,D532&lt;=50),"46–50",
AND(D532&gt;=51,D532&lt;=60),"51–60")</f>
        <v>36–40</v>
      </c>
    </row>
    <row r="533" spans="1:14" x14ac:dyDescent="0.35">
      <c r="A533" t="s">
        <v>1064</v>
      </c>
      <c r="B533" t="s">
        <v>1065</v>
      </c>
      <c r="C533" t="s">
        <v>14</v>
      </c>
      <c r="D533">
        <v>31</v>
      </c>
      <c r="E533" t="s">
        <v>58</v>
      </c>
      <c r="F533" t="s">
        <v>59</v>
      </c>
      <c r="G533" t="s">
        <v>53</v>
      </c>
      <c r="H533" s="1">
        <v>45412</v>
      </c>
      <c r="J533">
        <v>1070000</v>
      </c>
      <c r="K533">
        <v>0</v>
      </c>
      <c r="L533" t="s">
        <v>24</v>
      </c>
      <c r="M533">
        <f ca="1">IF(ISBLANK(Table1[[#This Row],[Exit]]),DATEDIF(Table1[[#This Row],[Hire]],TODAY(),"Y"),DATEDIF(Table1[[#This Row],[Hire]],Table1[[#This Row],[Exit]],"Y"))</f>
        <v>1</v>
      </c>
      <c r="N533" t="str" cm="1">
        <f t="array" ref="N533">_xlfn.IFS(
AND(D533&gt;=26,D533&lt;=30),"26–30",
AND(D533&gt;=31,D533&lt;=35),"31–35",
AND(D533&gt;=36,D533&lt;=40),"36–40",
AND(D533&gt;=41,D533&lt;=45),"41–45",
AND(D533&gt;=46,D533&lt;=50),"46–50",
AND(D533&gt;=51,D533&lt;=60),"51–60")</f>
        <v>31–35</v>
      </c>
    </row>
    <row r="534" spans="1:14" x14ac:dyDescent="0.35">
      <c r="A534" t="s">
        <v>444</v>
      </c>
      <c r="B534" t="s">
        <v>1066</v>
      </c>
      <c r="C534" t="s">
        <v>21</v>
      </c>
      <c r="D534">
        <v>39</v>
      </c>
      <c r="E534" t="s">
        <v>15</v>
      </c>
      <c r="F534" t="s">
        <v>16</v>
      </c>
      <c r="G534" t="s">
        <v>53</v>
      </c>
      <c r="H534" s="1">
        <v>43887</v>
      </c>
      <c r="J534">
        <v>1072000</v>
      </c>
      <c r="K534">
        <v>0</v>
      </c>
      <c r="L534" t="s">
        <v>24</v>
      </c>
      <c r="M534">
        <f ca="1">IF(ISBLANK(Table1[[#This Row],[Exit]]),DATEDIF(Table1[[#This Row],[Hire]],TODAY(),"Y"),DATEDIF(Table1[[#This Row],[Hire]],Table1[[#This Row],[Exit]],"Y"))</f>
        <v>5</v>
      </c>
      <c r="N534" t="str" cm="1">
        <f t="array" ref="N534">_xlfn.IFS(
AND(D534&gt;=26,D534&lt;=30),"26–30",
AND(D534&gt;=31,D534&lt;=35),"31–35",
AND(D534&gt;=36,D534&lt;=40),"36–40",
AND(D534&gt;=41,D534&lt;=45),"41–45",
AND(D534&gt;=46,D534&lt;=50),"46–50",
AND(D534&gt;=51,D534&lt;=60),"51–60")</f>
        <v>36–40</v>
      </c>
    </row>
    <row r="535" spans="1:14" x14ac:dyDescent="0.35">
      <c r="A535" t="s">
        <v>1067</v>
      </c>
      <c r="B535" t="s">
        <v>1068</v>
      </c>
      <c r="C535" t="s">
        <v>21</v>
      </c>
      <c r="D535">
        <v>31</v>
      </c>
      <c r="E535" t="s">
        <v>22</v>
      </c>
      <c r="F535" t="s">
        <v>16</v>
      </c>
      <c r="G535" t="s">
        <v>53</v>
      </c>
      <c r="H535" s="1">
        <v>44815</v>
      </c>
      <c r="J535">
        <v>1074000</v>
      </c>
      <c r="K535">
        <v>0.08</v>
      </c>
      <c r="L535" t="s">
        <v>24</v>
      </c>
      <c r="M535">
        <f ca="1">IF(ISBLANK(Table1[[#This Row],[Exit]]),DATEDIF(Table1[[#This Row],[Hire]],TODAY(),"Y"),DATEDIF(Table1[[#This Row],[Hire]],Table1[[#This Row],[Exit]],"Y"))</f>
        <v>3</v>
      </c>
      <c r="N535" t="str" cm="1">
        <f t="array" ref="N535">_xlfn.IFS(
AND(D535&gt;=26,D535&lt;=30),"26–30",
AND(D535&gt;=31,D535&lt;=35),"31–35",
AND(D535&gt;=36,D535&lt;=40),"36–40",
AND(D535&gt;=41,D535&lt;=45),"41–45",
AND(D535&gt;=46,D535&lt;=50),"46–50",
AND(D535&gt;=51,D535&lt;=60),"51–60")</f>
        <v>31–35</v>
      </c>
    </row>
    <row r="536" spans="1:14" x14ac:dyDescent="0.35">
      <c r="A536" t="s">
        <v>1069</v>
      </c>
      <c r="B536" t="s">
        <v>1070</v>
      </c>
      <c r="C536" t="s">
        <v>21</v>
      </c>
      <c r="D536">
        <v>45</v>
      </c>
      <c r="E536" t="s">
        <v>81</v>
      </c>
      <c r="F536" t="s">
        <v>43</v>
      </c>
      <c r="G536" t="s">
        <v>53</v>
      </c>
      <c r="H536" s="1">
        <v>45430</v>
      </c>
      <c r="J536">
        <v>1076000</v>
      </c>
      <c r="K536">
        <v>0.26</v>
      </c>
      <c r="L536" t="s">
        <v>24</v>
      </c>
      <c r="M536">
        <f ca="1">IF(ISBLANK(Table1[[#This Row],[Exit]]),DATEDIF(Table1[[#This Row],[Hire]],TODAY(),"Y"),DATEDIF(Table1[[#This Row],[Hire]],Table1[[#This Row],[Exit]],"Y"))</f>
        <v>1</v>
      </c>
      <c r="N536" t="str" cm="1">
        <f t="array" ref="N536">_xlfn.IFS(
AND(D536&gt;=26,D536&lt;=30),"26–30",
AND(D536&gt;=31,D536&lt;=35),"31–35",
AND(D536&gt;=36,D536&lt;=40),"36–40",
AND(D536&gt;=41,D536&lt;=45),"41–45",
AND(D536&gt;=46,D536&lt;=50),"46–50",
AND(D536&gt;=51,D536&lt;=60),"51–60")</f>
        <v>41–45</v>
      </c>
    </row>
    <row r="537" spans="1:14" x14ac:dyDescent="0.35">
      <c r="A537" t="s">
        <v>1071</v>
      </c>
      <c r="B537" t="s">
        <v>1072</v>
      </c>
      <c r="C537" t="s">
        <v>21</v>
      </c>
      <c r="D537">
        <v>50</v>
      </c>
      <c r="E537" t="s">
        <v>52</v>
      </c>
      <c r="F537" t="s">
        <v>16</v>
      </c>
      <c r="G537" t="s">
        <v>17</v>
      </c>
      <c r="H537" s="1">
        <v>44509</v>
      </c>
      <c r="J537">
        <v>1078000</v>
      </c>
      <c r="K537">
        <v>0.17</v>
      </c>
      <c r="L537" t="s">
        <v>24</v>
      </c>
      <c r="M537">
        <f ca="1">IF(ISBLANK(Table1[[#This Row],[Exit]]),DATEDIF(Table1[[#This Row],[Hire]],TODAY(),"Y"),DATEDIF(Table1[[#This Row],[Hire]],Table1[[#This Row],[Exit]],"Y"))</f>
        <v>4</v>
      </c>
      <c r="N537" t="str" cm="1">
        <f t="array" ref="N537">_xlfn.IFS(
AND(D537&gt;=26,D537&lt;=30),"26–30",
AND(D537&gt;=31,D537&lt;=35),"31–35",
AND(D537&gt;=36,D537&lt;=40),"36–40",
AND(D537&gt;=41,D537&lt;=45),"41–45",
AND(D537&gt;=46,D537&lt;=50),"46–50",
AND(D537&gt;=51,D537&lt;=60),"51–60")</f>
        <v>46–50</v>
      </c>
    </row>
    <row r="538" spans="1:14" x14ac:dyDescent="0.35">
      <c r="A538" t="s">
        <v>1073</v>
      </c>
      <c r="B538" t="s">
        <v>1074</v>
      </c>
      <c r="C538" t="s">
        <v>21</v>
      </c>
      <c r="D538">
        <v>36</v>
      </c>
      <c r="E538" t="s">
        <v>66</v>
      </c>
      <c r="F538" t="s">
        <v>16</v>
      </c>
      <c r="G538" t="s">
        <v>23</v>
      </c>
      <c r="H538" s="1">
        <v>43963</v>
      </c>
      <c r="J538">
        <v>1080000</v>
      </c>
      <c r="K538">
        <v>0.14000000000000001</v>
      </c>
      <c r="L538" t="s">
        <v>24</v>
      </c>
      <c r="M538">
        <f ca="1">IF(ISBLANK(Table1[[#This Row],[Exit]]),DATEDIF(Table1[[#This Row],[Hire]],TODAY(),"Y"),DATEDIF(Table1[[#This Row],[Hire]],Table1[[#This Row],[Exit]],"Y"))</f>
        <v>5</v>
      </c>
      <c r="N538" t="str" cm="1">
        <f t="array" ref="N538">_xlfn.IFS(
AND(D538&gt;=26,D538&lt;=30),"26–30",
AND(D538&gt;=31,D538&lt;=35),"31–35",
AND(D538&gt;=36,D538&lt;=40),"36–40",
AND(D538&gt;=41,D538&lt;=45),"41–45",
AND(D538&gt;=46,D538&lt;=50),"46–50",
AND(D538&gt;=51,D538&lt;=60),"51–60")</f>
        <v>36–40</v>
      </c>
    </row>
    <row r="539" spans="1:14" x14ac:dyDescent="0.35">
      <c r="A539" t="s">
        <v>820</v>
      </c>
      <c r="B539" t="s">
        <v>1075</v>
      </c>
      <c r="C539" t="s">
        <v>14</v>
      </c>
      <c r="D539">
        <v>45</v>
      </c>
      <c r="E539" t="s">
        <v>31</v>
      </c>
      <c r="F539" t="s">
        <v>16</v>
      </c>
      <c r="G539" t="s">
        <v>53</v>
      </c>
      <c r="H539" s="1">
        <v>44815</v>
      </c>
      <c r="J539">
        <v>1082000</v>
      </c>
      <c r="K539">
        <v>0</v>
      </c>
      <c r="L539" t="s">
        <v>24</v>
      </c>
      <c r="M539">
        <f ca="1">IF(ISBLANK(Table1[[#This Row],[Exit]]),DATEDIF(Table1[[#This Row],[Hire]],TODAY(),"Y"),DATEDIF(Table1[[#This Row],[Hire]],Table1[[#This Row],[Exit]],"Y"))</f>
        <v>3</v>
      </c>
      <c r="N539" t="str" cm="1">
        <f t="array" ref="N539">_xlfn.IFS(
AND(D539&gt;=26,D539&lt;=30),"26–30",
AND(D539&gt;=31,D539&lt;=35),"31–35",
AND(D539&gt;=36,D539&lt;=40),"36–40",
AND(D539&gt;=41,D539&lt;=45),"41–45",
AND(D539&gt;=46,D539&lt;=50),"46–50",
AND(D539&gt;=51,D539&lt;=60),"51–60")</f>
        <v>41–45</v>
      </c>
    </row>
    <row r="540" spans="1:14" x14ac:dyDescent="0.35">
      <c r="A540" t="s">
        <v>1076</v>
      </c>
      <c r="B540" t="s">
        <v>1077</v>
      </c>
      <c r="C540" t="s">
        <v>41</v>
      </c>
      <c r="D540">
        <v>31</v>
      </c>
      <c r="E540" t="s">
        <v>81</v>
      </c>
      <c r="F540" t="s">
        <v>49</v>
      </c>
      <c r="G540" t="s">
        <v>34</v>
      </c>
      <c r="H540" s="1">
        <v>44857</v>
      </c>
      <c r="J540">
        <v>1084000</v>
      </c>
      <c r="K540">
        <v>0</v>
      </c>
      <c r="L540" t="s">
        <v>24</v>
      </c>
      <c r="M540">
        <f ca="1">IF(ISBLANK(Table1[[#This Row],[Exit]]),DATEDIF(Table1[[#This Row],[Hire]],TODAY(),"Y"),DATEDIF(Table1[[#This Row],[Hire]],Table1[[#This Row],[Exit]],"Y"))</f>
        <v>3</v>
      </c>
      <c r="N540" t="str" cm="1">
        <f t="array" ref="N540">_xlfn.IFS(
AND(D540&gt;=26,D540&lt;=30),"26–30",
AND(D540&gt;=31,D540&lt;=35),"31–35",
AND(D540&gt;=36,D540&lt;=40),"36–40",
AND(D540&gt;=41,D540&lt;=45),"41–45",
AND(D540&gt;=46,D540&lt;=50),"46–50",
AND(D540&gt;=51,D540&lt;=60),"51–60")</f>
        <v>31–35</v>
      </c>
    </row>
    <row r="541" spans="1:14" x14ac:dyDescent="0.35">
      <c r="A541" t="s">
        <v>1078</v>
      </c>
      <c r="B541" t="s">
        <v>1079</v>
      </c>
      <c r="C541" t="s">
        <v>14</v>
      </c>
      <c r="D541">
        <v>41</v>
      </c>
      <c r="E541" t="s">
        <v>92</v>
      </c>
      <c r="F541" t="s">
        <v>59</v>
      </c>
      <c r="G541" t="s">
        <v>53</v>
      </c>
      <c r="H541" s="1">
        <v>45527</v>
      </c>
      <c r="J541">
        <v>1086000</v>
      </c>
      <c r="K541">
        <v>0</v>
      </c>
      <c r="L541" t="s">
        <v>24</v>
      </c>
      <c r="M541">
        <f ca="1">IF(ISBLANK(Table1[[#This Row],[Exit]]),DATEDIF(Table1[[#This Row],[Hire]],TODAY(),"Y"),DATEDIF(Table1[[#This Row],[Hire]],Table1[[#This Row],[Exit]],"Y"))</f>
        <v>1</v>
      </c>
      <c r="N541" t="str" cm="1">
        <f t="array" ref="N541">_xlfn.IFS(
AND(D541&gt;=26,D541&lt;=30),"26–30",
AND(D541&gt;=31,D541&lt;=35),"31–35",
AND(D541&gt;=36,D541&lt;=40),"36–40",
AND(D541&gt;=41,D541&lt;=45),"41–45",
AND(D541&gt;=46,D541&lt;=50),"46–50",
AND(D541&gt;=51,D541&lt;=60),"51–60")</f>
        <v>41–45</v>
      </c>
    </row>
    <row r="542" spans="1:14" x14ac:dyDescent="0.35">
      <c r="A542" t="s">
        <v>1080</v>
      </c>
      <c r="B542" t="s">
        <v>1081</v>
      </c>
      <c r="C542" t="s">
        <v>21</v>
      </c>
      <c r="D542">
        <v>47</v>
      </c>
      <c r="E542" t="s">
        <v>81</v>
      </c>
      <c r="F542" t="s">
        <v>46</v>
      </c>
      <c r="G542" t="s">
        <v>23</v>
      </c>
      <c r="H542" s="1">
        <v>45237</v>
      </c>
      <c r="J542">
        <v>1088000</v>
      </c>
      <c r="K542">
        <v>0</v>
      </c>
      <c r="L542" t="s">
        <v>24</v>
      </c>
      <c r="M542">
        <f ca="1">IF(ISBLANK(Table1[[#This Row],[Exit]]),DATEDIF(Table1[[#This Row],[Hire]],TODAY(),"Y"),DATEDIF(Table1[[#This Row],[Hire]],Table1[[#This Row],[Exit]],"Y"))</f>
        <v>2</v>
      </c>
      <c r="N542" t="str" cm="1">
        <f t="array" ref="N542">_xlfn.IFS(
AND(D542&gt;=26,D542&lt;=30),"26–30",
AND(D542&gt;=31,D542&lt;=35),"31–35",
AND(D542&gt;=36,D542&lt;=40),"36–40",
AND(D542&gt;=41,D542&lt;=45),"41–45",
AND(D542&gt;=46,D542&lt;=50),"46–50",
AND(D542&gt;=51,D542&lt;=60),"51–60")</f>
        <v>46–50</v>
      </c>
    </row>
    <row r="543" spans="1:14" x14ac:dyDescent="0.35">
      <c r="A543" t="s">
        <v>229</v>
      </c>
      <c r="B543" t="s">
        <v>1082</v>
      </c>
      <c r="C543" t="s">
        <v>41</v>
      </c>
      <c r="D543">
        <v>38</v>
      </c>
      <c r="E543" t="s">
        <v>22</v>
      </c>
      <c r="F543" t="s">
        <v>16</v>
      </c>
      <c r="G543" t="s">
        <v>34</v>
      </c>
      <c r="H543" s="1">
        <v>45206</v>
      </c>
      <c r="J543">
        <v>1090000</v>
      </c>
      <c r="K543">
        <v>0</v>
      </c>
      <c r="L543" t="s">
        <v>24</v>
      </c>
      <c r="M543">
        <f ca="1">IF(ISBLANK(Table1[[#This Row],[Exit]]),DATEDIF(Table1[[#This Row],[Hire]],TODAY(),"Y"),DATEDIF(Table1[[#This Row],[Hire]],Table1[[#This Row],[Exit]],"Y"))</f>
        <v>2</v>
      </c>
      <c r="N543" t="str" cm="1">
        <f t="array" ref="N543">_xlfn.IFS(
AND(D543&gt;=26,D543&lt;=30),"26–30",
AND(D543&gt;=31,D543&lt;=35),"31–35",
AND(D543&gt;=36,D543&lt;=40),"36–40",
AND(D543&gt;=41,D543&lt;=45),"41–45",
AND(D543&gt;=46,D543&lt;=50),"46–50",
AND(D543&gt;=51,D543&lt;=60),"51–60")</f>
        <v>36–40</v>
      </c>
    </row>
    <row r="544" spans="1:14" x14ac:dyDescent="0.35">
      <c r="A544" t="s">
        <v>1083</v>
      </c>
      <c r="B544" t="s">
        <v>1084</v>
      </c>
      <c r="C544" t="s">
        <v>14</v>
      </c>
      <c r="D544">
        <v>40</v>
      </c>
      <c r="E544" t="s">
        <v>92</v>
      </c>
      <c r="F544" t="s">
        <v>59</v>
      </c>
      <c r="G544" t="s">
        <v>34</v>
      </c>
      <c r="H544" s="1">
        <v>44677</v>
      </c>
      <c r="J544">
        <v>1092000</v>
      </c>
      <c r="K544">
        <v>0</v>
      </c>
      <c r="L544" t="s">
        <v>24</v>
      </c>
      <c r="M544">
        <f ca="1">IF(ISBLANK(Table1[[#This Row],[Exit]]),DATEDIF(Table1[[#This Row],[Hire]],TODAY(),"Y"),DATEDIF(Table1[[#This Row],[Hire]],Table1[[#This Row],[Exit]],"Y"))</f>
        <v>3</v>
      </c>
      <c r="N544" t="str" cm="1">
        <f t="array" ref="N544">_xlfn.IFS(
AND(D544&gt;=26,D544&lt;=30),"26–30",
AND(D544&gt;=31,D544&lt;=35),"31–35",
AND(D544&gt;=36,D544&lt;=40),"36–40",
AND(D544&gt;=41,D544&lt;=45),"41–45",
AND(D544&gt;=46,D544&lt;=50),"46–50",
AND(D544&gt;=51,D544&lt;=60),"51–60")</f>
        <v>36–40</v>
      </c>
    </row>
    <row r="545" spans="1:14" x14ac:dyDescent="0.35">
      <c r="A545" t="s">
        <v>1085</v>
      </c>
      <c r="B545" t="s">
        <v>1086</v>
      </c>
      <c r="C545" t="s">
        <v>21</v>
      </c>
      <c r="D545">
        <v>45</v>
      </c>
      <c r="E545" t="s">
        <v>31</v>
      </c>
      <c r="F545" t="s">
        <v>16</v>
      </c>
      <c r="G545" t="s">
        <v>17</v>
      </c>
      <c r="H545" s="1">
        <v>43889</v>
      </c>
      <c r="J545">
        <v>1094000</v>
      </c>
      <c r="K545">
        <v>0</v>
      </c>
      <c r="L545" t="s">
        <v>24</v>
      </c>
      <c r="M545">
        <f ca="1">IF(ISBLANK(Table1[[#This Row],[Exit]]),DATEDIF(Table1[[#This Row],[Hire]],TODAY(),"Y"),DATEDIF(Table1[[#This Row],[Hire]],Table1[[#This Row],[Exit]],"Y"))</f>
        <v>5</v>
      </c>
      <c r="N545" t="str" cm="1">
        <f t="array" ref="N545">_xlfn.IFS(
AND(D545&gt;=26,D545&lt;=30),"26–30",
AND(D545&gt;=31,D545&lt;=35),"31–35",
AND(D545&gt;=36,D545&lt;=40),"36–40",
AND(D545&gt;=41,D545&lt;=45),"41–45",
AND(D545&gt;=46,D545&lt;=50),"46–50",
AND(D545&gt;=51,D545&lt;=60),"51–60")</f>
        <v>41–45</v>
      </c>
    </row>
    <row r="546" spans="1:14" x14ac:dyDescent="0.35">
      <c r="A546" t="s">
        <v>1087</v>
      </c>
      <c r="B546" t="s">
        <v>1088</v>
      </c>
      <c r="C546" t="s">
        <v>21</v>
      </c>
      <c r="D546">
        <v>31</v>
      </c>
      <c r="E546" t="s">
        <v>15</v>
      </c>
      <c r="F546" t="s">
        <v>16</v>
      </c>
      <c r="G546" t="s">
        <v>17</v>
      </c>
      <c r="H546" s="1">
        <v>44116</v>
      </c>
      <c r="J546">
        <v>1096000</v>
      </c>
      <c r="K546">
        <v>0</v>
      </c>
      <c r="L546" t="s">
        <v>24</v>
      </c>
      <c r="M546">
        <f ca="1">IF(ISBLANK(Table1[[#This Row],[Exit]]),DATEDIF(Table1[[#This Row],[Hire]],TODAY(),"Y"),DATEDIF(Table1[[#This Row],[Hire]],Table1[[#This Row],[Exit]],"Y"))</f>
        <v>5</v>
      </c>
      <c r="N546" t="str" cm="1">
        <f t="array" ref="N546">_xlfn.IFS(
AND(D546&gt;=26,D546&lt;=30),"26–30",
AND(D546&gt;=31,D546&lt;=35),"31–35",
AND(D546&gt;=36,D546&lt;=40),"36–40",
AND(D546&gt;=41,D546&lt;=45),"41–45",
AND(D546&gt;=46,D546&lt;=50),"46–50",
AND(D546&gt;=51,D546&lt;=60),"51–60")</f>
        <v>31–35</v>
      </c>
    </row>
    <row r="547" spans="1:14" x14ac:dyDescent="0.35">
      <c r="A547" t="s">
        <v>1089</v>
      </c>
      <c r="B547" t="s">
        <v>1090</v>
      </c>
      <c r="C547" t="s">
        <v>21</v>
      </c>
      <c r="D547">
        <v>35</v>
      </c>
      <c r="E547" t="s">
        <v>22</v>
      </c>
      <c r="F547" t="s">
        <v>16</v>
      </c>
      <c r="G547" t="s">
        <v>23</v>
      </c>
      <c r="H547" s="1">
        <v>44588</v>
      </c>
      <c r="J547">
        <v>1098000</v>
      </c>
      <c r="K547">
        <v>0.37</v>
      </c>
      <c r="L547" t="s">
        <v>24</v>
      </c>
      <c r="M547">
        <f ca="1">IF(ISBLANK(Table1[[#This Row],[Exit]]),DATEDIF(Table1[[#This Row],[Hire]],TODAY(),"Y"),DATEDIF(Table1[[#This Row],[Hire]],Table1[[#This Row],[Exit]],"Y"))</f>
        <v>4</v>
      </c>
      <c r="N547" t="str" cm="1">
        <f t="array" ref="N547">_xlfn.IFS(
AND(D547&gt;=26,D547&lt;=30),"26–30",
AND(D547&gt;=31,D547&lt;=35),"31–35",
AND(D547&gt;=36,D547&lt;=40),"36–40",
AND(D547&gt;=41,D547&lt;=45),"41–45",
AND(D547&gt;=46,D547&lt;=50),"46–50",
AND(D547&gt;=51,D547&lt;=60),"51–60")</f>
        <v>31–35</v>
      </c>
    </row>
    <row r="548" spans="1:14" x14ac:dyDescent="0.35">
      <c r="A548" t="s">
        <v>1091</v>
      </c>
      <c r="B548" t="s">
        <v>1092</v>
      </c>
      <c r="C548" t="s">
        <v>21</v>
      </c>
      <c r="D548">
        <v>31</v>
      </c>
      <c r="E548" t="s">
        <v>27</v>
      </c>
      <c r="F548" t="s">
        <v>28</v>
      </c>
      <c r="G548" t="s">
        <v>17</v>
      </c>
      <c r="H548" s="1">
        <v>45337</v>
      </c>
      <c r="J548">
        <v>1100000</v>
      </c>
      <c r="K548">
        <v>0.14000000000000001</v>
      </c>
      <c r="L548" t="s">
        <v>24</v>
      </c>
      <c r="M548">
        <f ca="1">IF(ISBLANK(Table1[[#This Row],[Exit]]),DATEDIF(Table1[[#This Row],[Hire]],TODAY(),"Y"),DATEDIF(Table1[[#This Row],[Hire]],Table1[[#This Row],[Exit]],"Y"))</f>
        <v>1</v>
      </c>
      <c r="N548" t="str" cm="1">
        <f t="array" ref="N548">_xlfn.IFS(
AND(D548&gt;=26,D548&lt;=30),"26–30",
AND(D548&gt;=31,D548&lt;=35),"31–35",
AND(D548&gt;=36,D548&lt;=40),"36–40",
AND(D548&gt;=41,D548&lt;=45),"41–45",
AND(D548&gt;=46,D548&lt;=50),"46–50",
AND(D548&gt;=51,D548&lt;=60),"51–60")</f>
        <v>31–35</v>
      </c>
    </row>
    <row r="549" spans="1:14" x14ac:dyDescent="0.35">
      <c r="A549" t="s">
        <v>1093</v>
      </c>
      <c r="B549" t="s">
        <v>1094</v>
      </c>
      <c r="C549" t="s">
        <v>14</v>
      </c>
      <c r="D549">
        <v>35</v>
      </c>
      <c r="E549" t="s">
        <v>31</v>
      </c>
      <c r="F549" t="s">
        <v>16</v>
      </c>
      <c r="G549" t="s">
        <v>23</v>
      </c>
      <c r="H549" s="1">
        <v>45332</v>
      </c>
      <c r="J549">
        <v>1102000</v>
      </c>
      <c r="K549">
        <v>0.12</v>
      </c>
      <c r="L549" t="s">
        <v>24</v>
      </c>
      <c r="M549">
        <f ca="1">IF(ISBLANK(Table1[[#This Row],[Exit]]),DATEDIF(Table1[[#This Row],[Hire]],TODAY(),"Y"),DATEDIF(Table1[[#This Row],[Hire]],Table1[[#This Row],[Exit]],"Y"))</f>
        <v>1</v>
      </c>
      <c r="N549" t="str" cm="1">
        <f t="array" ref="N549">_xlfn.IFS(
AND(D549&gt;=26,D549&lt;=30),"26–30",
AND(D549&gt;=31,D549&lt;=35),"31–35",
AND(D549&gt;=36,D549&lt;=40),"36–40",
AND(D549&gt;=41,D549&lt;=45),"41–45",
AND(D549&gt;=46,D549&lt;=50),"46–50",
AND(D549&gt;=51,D549&lt;=60),"51–60")</f>
        <v>31–35</v>
      </c>
    </row>
    <row r="550" spans="1:14" x14ac:dyDescent="0.35">
      <c r="A550" t="s">
        <v>47</v>
      </c>
      <c r="B550" t="s">
        <v>1095</v>
      </c>
      <c r="C550" t="s">
        <v>21</v>
      </c>
      <c r="D550">
        <v>31</v>
      </c>
      <c r="E550" t="s">
        <v>27</v>
      </c>
      <c r="F550" t="s">
        <v>28</v>
      </c>
      <c r="G550" t="s">
        <v>34</v>
      </c>
      <c r="H550" s="1">
        <v>44183</v>
      </c>
      <c r="J550">
        <v>1104000</v>
      </c>
      <c r="K550">
        <v>0.28000000000000003</v>
      </c>
      <c r="L550" t="s">
        <v>24</v>
      </c>
      <c r="M550">
        <f ca="1">IF(ISBLANK(Table1[[#This Row],[Exit]]),DATEDIF(Table1[[#This Row],[Hire]],TODAY(),"Y"),DATEDIF(Table1[[#This Row],[Hire]],Table1[[#This Row],[Exit]],"Y"))</f>
        <v>5</v>
      </c>
      <c r="N550" t="str" cm="1">
        <f t="array" ref="N550">_xlfn.IFS(
AND(D550&gt;=26,D550&lt;=30),"26–30",
AND(D550&gt;=31,D550&lt;=35),"31–35",
AND(D550&gt;=36,D550&lt;=40),"36–40",
AND(D550&gt;=41,D550&lt;=45),"41–45",
AND(D550&gt;=46,D550&lt;=50),"46–50",
AND(D550&gt;=51,D550&lt;=60),"51–60")</f>
        <v>31–35</v>
      </c>
    </row>
    <row r="551" spans="1:14" x14ac:dyDescent="0.35">
      <c r="A551" t="s">
        <v>1096</v>
      </c>
      <c r="B551" t="s">
        <v>1097</v>
      </c>
      <c r="C551" t="s">
        <v>14</v>
      </c>
      <c r="D551">
        <v>26</v>
      </c>
      <c r="E551" t="s">
        <v>15</v>
      </c>
      <c r="F551" t="s">
        <v>16</v>
      </c>
      <c r="G551" t="s">
        <v>23</v>
      </c>
      <c r="H551" s="1">
        <v>43837</v>
      </c>
      <c r="I551" s="1">
        <v>45332</v>
      </c>
      <c r="J551">
        <v>1106000</v>
      </c>
      <c r="K551">
        <v>0.15</v>
      </c>
      <c r="L551" t="s">
        <v>18</v>
      </c>
      <c r="M551">
        <f ca="1">IF(ISBLANK(Table1[[#This Row],[Exit]]),DATEDIF(Table1[[#This Row],[Hire]],TODAY(),"Y"),DATEDIF(Table1[[#This Row],[Hire]],Table1[[#This Row],[Exit]],"Y"))</f>
        <v>4</v>
      </c>
      <c r="N551" t="str" cm="1">
        <f t="array" ref="N551">_xlfn.IFS(
AND(D551&gt;=26,D551&lt;=30),"26–30",
AND(D551&gt;=31,D551&lt;=35),"31–35",
AND(D551&gt;=36,D551&lt;=40),"36–40",
AND(D551&gt;=41,D551&lt;=45),"41–45",
AND(D551&gt;=46,D551&lt;=50),"46–50",
AND(D551&gt;=51,D551&lt;=60),"51–60")</f>
        <v>26–30</v>
      </c>
    </row>
    <row r="552" spans="1:14" x14ac:dyDescent="0.35">
      <c r="A552" t="s">
        <v>1098</v>
      </c>
      <c r="B552" t="s">
        <v>1099</v>
      </c>
      <c r="C552" t="s">
        <v>14</v>
      </c>
      <c r="D552">
        <v>31</v>
      </c>
      <c r="E552" t="s">
        <v>15</v>
      </c>
      <c r="F552" t="s">
        <v>16</v>
      </c>
      <c r="G552" t="s">
        <v>34</v>
      </c>
      <c r="H552" s="1">
        <v>45206</v>
      </c>
      <c r="J552">
        <v>1108000</v>
      </c>
      <c r="K552">
        <v>0.06</v>
      </c>
      <c r="L552" t="s">
        <v>24</v>
      </c>
      <c r="M552">
        <f ca="1">IF(ISBLANK(Table1[[#This Row],[Exit]]),DATEDIF(Table1[[#This Row],[Hire]],TODAY(),"Y"),DATEDIF(Table1[[#This Row],[Hire]],Table1[[#This Row],[Exit]],"Y"))</f>
        <v>2</v>
      </c>
      <c r="N552" t="str" cm="1">
        <f t="array" ref="N552">_xlfn.IFS(
AND(D552&gt;=26,D552&lt;=30),"26–30",
AND(D552&gt;=31,D552&lt;=35),"31–35",
AND(D552&gt;=36,D552&lt;=40),"36–40",
AND(D552&gt;=41,D552&lt;=45),"41–45",
AND(D552&gt;=46,D552&lt;=50),"46–50",
AND(D552&gt;=51,D552&lt;=60),"51–60")</f>
        <v>31–35</v>
      </c>
    </row>
    <row r="553" spans="1:14" x14ac:dyDescent="0.35">
      <c r="A553" t="s">
        <v>1100</v>
      </c>
      <c r="B553" t="s">
        <v>1101</v>
      </c>
      <c r="C553" t="s">
        <v>14</v>
      </c>
      <c r="D553">
        <v>31</v>
      </c>
      <c r="E553" t="s">
        <v>42</v>
      </c>
      <c r="F553" t="s">
        <v>43</v>
      </c>
      <c r="G553" t="s">
        <v>34</v>
      </c>
      <c r="H553" s="1">
        <v>44487</v>
      </c>
      <c r="J553">
        <v>1110000</v>
      </c>
      <c r="K553">
        <v>0.16</v>
      </c>
      <c r="L553" t="s">
        <v>24</v>
      </c>
      <c r="M553">
        <f ca="1">IF(ISBLANK(Table1[[#This Row],[Exit]]),DATEDIF(Table1[[#This Row],[Hire]],TODAY(),"Y"),DATEDIF(Table1[[#This Row],[Hire]],Table1[[#This Row],[Exit]],"Y"))</f>
        <v>4</v>
      </c>
      <c r="N553" t="str" cm="1">
        <f t="array" ref="N553">_xlfn.IFS(
AND(D553&gt;=26,D553&lt;=30),"26–30",
AND(D553&gt;=31,D553&lt;=35),"31–35",
AND(D553&gt;=36,D553&lt;=40),"36–40",
AND(D553&gt;=41,D553&lt;=45),"41–45",
AND(D553&gt;=46,D553&lt;=50),"46–50",
AND(D553&gt;=51,D553&lt;=60),"51–60")</f>
        <v>31–35</v>
      </c>
    </row>
    <row r="554" spans="1:14" x14ac:dyDescent="0.35">
      <c r="A554" t="s">
        <v>1102</v>
      </c>
      <c r="B554" t="s">
        <v>1103</v>
      </c>
      <c r="C554" t="s">
        <v>355</v>
      </c>
      <c r="D554">
        <v>36</v>
      </c>
      <c r="E554" t="s">
        <v>42</v>
      </c>
      <c r="F554" t="s">
        <v>46</v>
      </c>
      <c r="G554" t="s">
        <v>23</v>
      </c>
      <c r="H554" s="1">
        <v>44791</v>
      </c>
      <c r="J554">
        <v>1112000</v>
      </c>
      <c r="K554">
        <v>0</v>
      </c>
      <c r="L554" t="s">
        <v>24</v>
      </c>
      <c r="M554">
        <f ca="1">IF(ISBLANK(Table1[[#This Row],[Exit]]),DATEDIF(Table1[[#This Row],[Hire]],TODAY(),"Y"),DATEDIF(Table1[[#This Row],[Hire]],Table1[[#This Row],[Exit]],"Y"))</f>
        <v>3</v>
      </c>
      <c r="N554" t="str" cm="1">
        <f t="array" ref="N554">_xlfn.IFS(
AND(D554&gt;=26,D554&lt;=30),"26–30",
AND(D554&gt;=31,D554&lt;=35),"31–35",
AND(D554&gt;=36,D554&lt;=40),"36–40",
AND(D554&gt;=41,D554&lt;=45),"41–45",
AND(D554&gt;=46,D554&lt;=50),"46–50",
AND(D554&gt;=51,D554&lt;=60),"51–60")</f>
        <v>36–40</v>
      </c>
    </row>
    <row r="555" spans="1:14" x14ac:dyDescent="0.35">
      <c r="A555" t="s">
        <v>1104</v>
      </c>
      <c r="B555" t="s">
        <v>1105</v>
      </c>
      <c r="C555" t="s">
        <v>14</v>
      </c>
      <c r="D555">
        <v>45</v>
      </c>
      <c r="E555" t="s">
        <v>42</v>
      </c>
      <c r="F555" t="s">
        <v>49</v>
      </c>
      <c r="G555" t="s">
        <v>17</v>
      </c>
      <c r="H555" s="1">
        <v>45440</v>
      </c>
      <c r="J555">
        <v>1114000</v>
      </c>
      <c r="K555">
        <v>0</v>
      </c>
      <c r="L555" t="s">
        <v>24</v>
      </c>
      <c r="M555">
        <f ca="1">IF(ISBLANK(Table1[[#This Row],[Exit]]),DATEDIF(Table1[[#This Row],[Hire]],TODAY(),"Y"),DATEDIF(Table1[[#This Row],[Hire]],Table1[[#This Row],[Exit]],"Y"))</f>
        <v>1</v>
      </c>
      <c r="N555" t="str" cm="1">
        <f t="array" ref="N555">_xlfn.IFS(
AND(D555&gt;=26,D555&lt;=30),"26–30",
AND(D555&gt;=31,D555&lt;=35),"31–35",
AND(D555&gt;=36,D555&lt;=40),"36–40",
AND(D555&gt;=41,D555&lt;=45),"41–45",
AND(D555&gt;=46,D555&lt;=50),"46–50",
AND(D555&gt;=51,D555&lt;=60),"51–60")</f>
        <v>41–45</v>
      </c>
    </row>
    <row r="556" spans="1:14" x14ac:dyDescent="0.35">
      <c r="A556" t="s">
        <v>1106</v>
      </c>
      <c r="B556" t="s">
        <v>1107</v>
      </c>
      <c r="C556" t="s">
        <v>21</v>
      </c>
      <c r="D556">
        <v>37</v>
      </c>
      <c r="E556" t="s">
        <v>52</v>
      </c>
      <c r="F556" t="s">
        <v>16</v>
      </c>
      <c r="G556" t="s">
        <v>53</v>
      </c>
      <c r="H556" s="1">
        <v>44811</v>
      </c>
      <c r="J556">
        <v>1116000</v>
      </c>
      <c r="K556">
        <v>0</v>
      </c>
      <c r="L556" t="s">
        <v>24</v>
      </c>
      <c r="M556">
        <f ca="1">IF(ISBLANK(Table1[[#This Row],[Exit]]),DATEDIF(Table1[[#This Row],[Hire]],TODAY(),"Y"),DATEDIF(Table1[[#This Row],[Hire]],Table1[[#This Row],[Exit]],"Y"))</f>
        <v>3</v>
      </c>
      <c r="N556" t="str" cm="1">
        <f t="array" ref="N556">_xlfn.IFS(
AND(D556&gt;=26,D556&lt;=30),"26–30",
AND(D556&gt;=31,D556&lt;=35),"31–35",
AND(D556&gt;=36,D556&lt;=40),"36–40",
AND(D556&gt;=41,D556&lt;=45),"41–45",
AND(D556&gt;=46,D556&lt;=50),"46–50",
AND(D556&gt;=51,D556&lt;=60),"51–60")</f>
        <v>36–40</v>
      </c>
    </row>
    <row r="557" spans="1:14" x14ac:dyDescent="0.35">
      <c r="A557" t="s">
        <v>1108</v>
      </c>
      <c r="B557" t="s">
        <v>1109</v>
      </c>
      <c r="C557" t="s">
        <v>14</v>
      </c>
      <c r="D557">
        <v>38</v>
      </c>
      <c r="E557" t="s">
        <v>42</v>
      </c>
      <c r="F557" t="s">
        <v>46</v>
      </c>
      <c r="G557" t="s">
        <v>53</v>
      </c>
      <c r="H557" s="1">
        <v>45294</v>
      </c>
      <c r="J557">
        <v>1118000</v>
      </c>
      <c r="K557">
        <v>0</v>
      </c>
      <c r="L557" t="s">
        <v>24</v>
      </c>
      <c r="M557">
        <f ca="1">IF(ISBLANK(Table1[[#This Row],[Exit]]),DATEDIF(Table1[[#This Row],[Hire]],TODAY(),"Y"),DATEDIF(Table1[[#This Row],[Hire]],Table1[[#This Row],[Exit]],"Y"))</f>
        <v>2</v>
      </c>
      <c r="N557" t="str" cm="1">
        <f t="array" ref="N557">_xlfn.IFS(
AND(D557&gt;=26,D557&lt;=30),"26–30",
AND(D557&gt;=31,D557&lt;=35),"31–35",
AND(D557&gt;=36,D557&lt;=40),"36–40",
AND(D557&gt;=41,D557&lt;=45),"41–45",
AND(D557&gt;=46,D557&lt;=50),"46–50",
AND(D557&gt;=51,D557&lt;=60),"51–60")</f>
        <v>36–40</v>
      </c>
    </row>
    <row r="558" spans="1:14" x14ac:dyDescent="0.35">
      <c r="A558" t="s">
        <v>1110</v>
      </c>
      <c r="B558" t="s">
        <v>1111</v>
      </c>
      <c r="C558" t="s">
        <v>21</v>
      </c>
      <c r="D558">
        <v>45</v>
      </c>
      <c r="E558" t="s">
        <v>58</v>
      </c>
      <c r="F558" t="s">
        <v>59</v>
      </c>
      <c r="G558" t="s">
        <v>34</v>
      </c>
      <c r="H558" s="1">
        <v>45074</v>
      </c>
      <c r="J558">
        <v>1120000</v>
      </c>
      <c r="K558">
        <v>0.14000000000000001</v>
      </c>
      <c r="L558" t="s">
        <v>24</v>
      </c>
      <c r="M558">
        <f ca="1">IF(ISBLANK(Table1[[#This Row],[Exit]]),DATEDIF(Table1[[#This Row],[Hire]],TODAY(),"Y"),DATEDIF(Table1[[#This Row],[Hire]],Table1[[#This Row],[Exit]],"Y"))</f>
        <v>2</v>
      </c>
      <c r="N558" t="str" cm="1">
        <f t="array" ref="N558">_xlfn.IFS(
AND(D558&gt;=26,D558&lt;=30),"26–30",
AND(D558&gt;=31,D558&lt;=35),"31–35",
AND(D558&gt;=36,D558&lt;=40),"36–40",
AND(D558&gt;=41,D558&lt;=45),"41–45",
AND(D558&gt;=46,D558&lt;=50),"46–50",
AND(D558&gt;=51,D558&lt;=60),"51–60")</f>
        <v>41–45</v>
      </c>
    </row>
    <row r="559" spans="1:14" x14ac:dyDescent="0.35">
      <c r="A559" t="s">
        <v>1112</v>
      </c>
      <c r="B559" t="s">
        <v>1113</v>
      </c>
      <c r="C559" t="s">
        <v>14</v>
      </c>
      <c r="D559">
        <v>51</v>
      </c>
      <c r="E559" t="s">
        <v>52</v>
      </c>
      <c r="F559" t="s">
        <v>16</v>
      </c>
      <c r="G559" t="s">
        <v>23</v>
      </c>
      <c r="H559" s="1">
        <v>45245</v>
      </c>
      <c r="J559">
        <v>1122000</v>
      </c>
      <c r="K559">
        <v>7.0000000000000007E-2</v>
      </c>
      <c r="L559" t="s">
        <v>24</v>
      </c>
      <c r="M559">
        <f ca="1">IF(ISBLANK(Table1[[#This Row],[Exit]]),DATEDIF(Table1[[#This Row],[Hire]],TODAY(),"Y"),DATEDIF(Table1[[#This Row],[Hire]],Table1[[#This Row],[Exit]],"Y"))</f>
        <v>2</v>
      </c>
      <c r="N559" t="str" cm="1">
        <f t="array" ref="N559">_xlfn.IFS(
AND(D559&gt;=26,D559&lt;=30),"26–30",
AND(D559&gt;=31,D559&lt;=35),"31–35",
AND(D559&gt;=36,D559&lt;=40),"36–40",
AND(D559&gt;=41,D559&lt;=45),"41–45",
AND(D559&gt;=46,D559&lt;=50),"46–50",
AND(D559&gt;=51,D559&lt;=60),"51–60")</f>
        <v>51–60</v>
      </c>
    </row>
    <row r="560" spans="1:14" x14ac:dyDescent="0.35">
      <c r="A560" t="s">
        <v>1114</v>
      </c>
      <c r="B560" t="s">
        <v>1115</v>
      </c>
      <c r="C560" t="s">
        <v>21</v>
      </c>
      <c r="D560">
        <v>56</v>
      </c>
      <c r="E560" t="s">
        <v>52</v>
      </c>
      <c r="F560" t="s">
        <v>16</v>
      </c>
      <c r="G560" t="s">
        <v>34</v>
      </c>
      <c r="H560" s="1">
        <v>43851</v>
      </c>
      <c r="J560">
        <v>1124000</v>
      </c>
      <c r="K560">
        <v>7.0000000000000007E-2</v>
      </c>
      <c r="L560" t="s">
        <v>24</v>
      </c>
      <c r="M560">
        <f ca="1">IF(ISBLANK(Table1[[#This Row],[Exit]]),DATEDIF(Table1[[#This Row],[Hire]],TODAY(),"Y"),DATEDIF(Table1[[#This Row],[Hire]],Table1[[#This Row],[Exit]],"Y"))</f>
        <v>6</v>
      </c>
      <c r="N560" t="str" cm="1">
        <f t="array" ref="N560">_xlfn.IFS(
AND(D560&gt;=26,D560&lt;=30),"26–30",
AND(D560&gt;=31,D560&lt;=35),"31–35",
AND(D560&gt;=36,D560&lt;=40),"36–40",
AND(D560&gt;=41,D560&lt;=45),"41–45",
AND(D560&gt;=46,D560&lt;=50),"46–50",
AND(D560&gt;=51,D560&lt;=60),"51–60")</f>
        <v>51–60</v>
      </c>
    </row>
    <row r="561" spans="1:14" x14ac:dyDescent="0.35">
      <c r="A561" t="s">
        <v>1116</v>
      </c>
      <c r="B561" t="s">
        <v>1117</v>
      </c>
      <c r="C561" t="s">
        <v>21</v>
      </c>
      <c r="D561">
        <v>53</v>
      </c>
      <c r="E561" t="s">
        <v>66</v>
      </c>
      <c r="F561" t="s">
        <v>16</v>
      </c>
      <c r="G561" t="s">
        <v>17</v>
      </c>
      <c r="H561" s="1">
        <v>45206</v>
      </c>
      <c r="J561">
        <v>1126000</v>
      </c>
      <c r="K561">
        <v>0</v>
      </c>
      <c r="L561" t="s">
        <v>24</v>
      </c>
      <c r="M561">
        <f ca="1">IF(ISBLANK(Table1[[#This Row],[Exit]]),DATEDIF(Table1[[#This Row],[Hire]],TODAY(),"Y"),DATEDIF(Table1[[#This Row],[Hire]],Table1[[#This Row],[Exit]],"Y"))</f>
        <v>2</v>
      </c>
      <c r="N561" t="str" cm="1">
        <f t="array" ref="N561">_xlfn.IFS(
AND(D561&gt;=26,D561&lt;=30),"26–30",
AND(D561&gt;=31,D561&lt;=35),"31–35",
AND(D561&gt;=36,D561&lt;=40),"36–40",
AND(D561&gt;=41,D561&lt;=45),"41–45",
AND(D561&gt;=46,D561&lt;=50),"46–50",
AND(D561&gt;=51,D561&lt;=60),"51–60")</f>
        <v>51–60</v>
      </c>
    </row>
    <row r="562" spans="1:14" x14ac:dyDescent="0.35">
      <c r="A562" t="s">
        <v>1118</v>
      </c>
      <c r="B562" t="s">
        <v>1119</v>
      </c>
      <c r="C562" t="s">
        <v>41</v>
      </c>
      <c r="D562">
        <v>47</v>
      </c>
      <c r="E562" t="s">
        <v>58</v>
      </c>
      <c r="F562" t="s">
        <v>59</v>
      </c>
      <c r="G562" t="s">
        <v>23</v>
      </c>
      <c r="H562" s="1">
        <v>45401</v>
      </c>
      <c r="J562">
        <v>1128000</v>
      </c>
      <c r="K562">
        <v>0</v>
      </c>
      <c r="L562" t="s">
        <v>24</v>
      </c>
      <c r="M562">
        <f ca="1">IF(ISBLANK(Table1[[#This Row],[Exit]]),DATEDIF(Table1[[#This Row],[Hire]],TODAY(),"Y"),DATEDIF(Table1[[#This Row],[Hire]],Table1[[#This Row],[Exit]],"Y"))</f>
        <v>1</v>
      </c>
      <c r="N562" t="str" cm="1">
        <f t="array" ref="N562">_xlfn.IFS(
AND(D562&gt;=26,D562&lt;=30),"26–30",
AND(D562&gt;=31,D562&lt;=35),"31–35",
AND(D562&gt;=36,D562&lt;=40),"36–40",
AND(D562&gt;=41,D562&lt;=45),"41–45",
AND(D562&gt;=46,D562&lt;=50),"46–50",
AND(D562&gt;=51,D562&lt;=60),"51–60")</f>
        <v>46–50</v>
      </c>
    </row>
    <row r="563" spans="1:14" x14ac:dyDescent="0.35">
      <c r="A563" t="s">
        <v>1120</v>
      </c>
      <c r="B563" t="s">
        <v>1121</v>
      </c>
      <c r="C563" t="s">
        <v>14</v>
      </c>
      <c r="D563">
        <v>36</v>
      </c>
      <c r="E563" t="s">
        <v>66</v>
      </c>
      <c r="F563" t="s">
        <v>16</v>
      </c>
      <c r="G563" t="s">
        <v>34</v>
      </c>
      <c r="H563" s="1">
        <v>44083</v>
      </c>
      <c r="J563">
        <v>1130000</v>
      </c>
      <c r="K563">
        <v>0</v>
      </c>
      <c r="L563" t="s">
        <v>24</v>
      </c>
      <c r="M563">
        <f ca="1">IF(ISBLANK(Table1[[#This Row],[Exit]]),DATEDIF(Table1[[#This Row],[Hire]],TODAY(),"Y"),DATEDIF(Table1[[#This Row],[Hire]],Table1[[#This Row],[Exit]],"Y"))</f>
        <v>5</v>
      </c>
      <c r="N563" t="str" cm="1">
        <f t="array" ref="N563">_xlfn.IFS(
AND(D563&gt;=26,D563&lt;=30),"26–30",
AND(D563&gt;=31,D563&lt;=35),"31–35",
AND(D563&gt;=36,D563&lt;=40),"36–40",
AND(D563&gt;=41,D563&lt;=45),"41–45",
AND(D563&gt;=46,D563&lt;=50),"46–50",
AND(D563&gt;=51,D563&lt;=60),"51–60")</f>
        <v>36–40</v>
      </c>
    </row>
    <row r="564" spans="1:14" x14ac:dyDescent="0.35">
      <c r="A564" t="s">
        <v>1122</v>
      </c>
      <c r="B564" t="s">
        <v>1123</v>
      </c>
      <c r="C564" t="s">
        <v>41</v>
      </c>
      <c r="D564">
        <v>41</v>
      </c>
      <c r="E564" t="s">
        <v>66</v>
      </c>
      <c r="F564" t="s">
        <v>16</v>
      </c>
      <c r="G564" t="s">
        <v>53</v>
      </c>
      <c r="H564" s="1">
        <v>45233</v>
      </c>
      <c r="J564">
        <v>1132000</v>
      </c>
      <c r="K564">
        <v>0</v>
      </c>
      <c r="L564" t="s">
        <v>24</v>
      </c>
      <c r="M564">
        <f ca="1">IF(ISBLANK(Table1[[#This Row],[Exit]]),DATEDIF(Table1[[#This Row],[Hire]],TODAY(),"Y"),DATEDIF(Table1[[#This Row],[Hire]],Table1[[#This Row],[Exit]],"Y"))</f>
        <v>2</v>
      </c>
      <c r="N564" t="str" cm="1">
        <f t="array" ref="N564">_xlfn.IFS(
AND(D564&gt;=26,D564&lt;=30),"26–30",
AND(D564&gt;=31,D564&lt;=35),"31–35",
AND(D564&gt;=36,D564&lt;=40),"36–40",
AND(D564&gt;=41,D564&lt;=45),"41–45",
AND(D564&gt;=46,D564&lt;=50),"46–50",
AND(D564&gt;=51,D564&lt;=60),"51–60")</f>
        <v>41–45</v>
      </c>
    </row>
    <row r="565" spans="1:14" x14ac:dyDescent="0.35">
      <c r="A565" t="s">
        <v>1124</v>
      </c>
      <c r="B565" t="s">
        <v>1125</v>
      </c>
      <c r="C565" t="s">
        <v>14</v>
      </c>
      <c r="D565">
        <v>30</v>
      </c>
      <c r="E565" t="s">
        <v>58</v>
      </c>
      <c r="F565" t="s">
        <v>59</v>
      </c>
      <c r="G565" t="s">
        <v>53</v>
      </c>
      <c r="H565" s="1">
        <v>43951</v>
      </c>
      <c r="I565" s="1">
        <v>45206</v>
      </c>
      <c r="J565">
        <v>1134000</v>
      </c>
      <c r="K565">
        <v>0.23</v>
      </c>
      <c r="L565" t="s">
        <v>18</v>
      </c>
      <c r="M565">
        <f ca="1">IF(ISBLANK(Table1[[#This Row],[Exit]]),DATEDIF(Table1[[#This Row],[Hire]],TODAY(),"Y"),DATEDIF(Table1[[#This Row],[Hire]],Table1[[#This Row],[Exit]],"Y"))</f>
        <v>3</v>
      </c>
      <c r="N565" t="str" cm="1">
        <f t="array" ref="N565">_xlfn.IFS(
AND(D565&gt;=26,D565&lt;=30),"26–30",
AND(D565&gt;=31,D565&lt;=35),"31–35",
AND(D565&gt;=36,D565&lt;=40),"36–40",
AND(D565&gt;=41,D565&lt;=45),"41–45",
AND(D565&gt;=46,D565&lt;=50),"46–50",
AND(D565&gt;=51,D565&lt;=60),"51–60")</f>
        <v>26–30</v>
      </c>
    </row>
    <row r="566" spans="1:14" x14ac:dyDescent="0.35">
      <c r="A566" t="s">
        <v>1126</v>
      </c>
      <c r="B566" t="s">
        <v>1127</v>
      </c>
      <c r="C566" t="s">
        <v>21</v>
      </c>
      <c r="D566">
        <v>31</v>
      </c>
      <c r="E566" t="s">
        <v>15</v>
      </c>
      <c r="F566" t="s">
        <v>16</v>
      </c>
      <c r="G566" t="s">
        <v>53</v>
      </c>
      <c r="H566" s="1">
        <v>43887</v>
      </c>
      <c r="J566">
        <v>1136000</v>
      </c>
      <c r="K566">
        <v>0.39</v>
      </c>
      <c r="L566" t="s">
        <v>24</v>
      </c>
      <c r="M566">
        <f ca="1">IF(ISBLANK(Table1[[#This Row],[Exit]]),DATEDIF(Table1[[#This Row],[Hire]],TODAY(),"Y"),DATEDIF(Table1[[#This Row],[Hire]],Table1[[#This Row],[Exit]],"Y"))</f>
        <v>5</v>
      </c>
      <c r="N566" t="str" cm="1">
        <f t="array" ref="N566">_xlfn.IFS(
AND(D566&gt;=26,D566&lt;=30),"26–30",
AND(D566&gt;=31,D566&lt;=35),"31–35",
AND(D566&gt;=36,D566&lt;=40),"36–40",
AND(D566&gt;=41,D566&lt;=45),"41–45",
AND(D566&gt;=46,D566&lt;=50),"46–50",
AND(D566&gt;=51,D566&lt;=60),"51–60")</f>
        <v>31–35</v>
      </c>
    </row>
    <row r="567" spans="1:14" x14ac:dyDescent="0.35">
      <c r="A567" t="s">
        <v>1128</v>
      </c>
      <c r="B567" t="s">
        <v>1129</v>
      </c>
      <c r="C567" t="s">
        <v>21</v>
      </c>
      <c r="D567">
        <v>38</v>
      </c>
      <c r="E567" t="s">
        <v>22</v>
      </c>
      <c r="F567" t="s">
        <v>16</v>
      </c>
      <c r="G567" t="s">
        <v>53</v>
      </c>
      <c r="H567" s="1">
        <v>44815</v>
      </c>
      <c r="J567">
        <v>1138000</v>
      </c>
      <c r="K567">
        <v>0.11</v>
      </c>
      <c r="L567" t="s">
        <v>24</v>
      </c>
      <c r="M567">
        <f ca="1">IF(ISBLANK(Table1[[#This Row],[Exit]]),DATEDIF(Table1[[#This Row],[Hire]],TODAY(),"Y"),DATEDIF(Table1[[#This Row],[Hire]],Table1[[#This Row],[Exit]],"Y"))</f>
        <v>3</v>
      </c>
      <c r="N567" t="str" cm="1">
        <f t="array" ref="N567">_xlfn.IFS(
AND(D567&gt;=26,D567&lt;=30),"26–30",
AND(D567&gt;=31,D567&lt;=35),"31–35",
AND(D567&gt;=36,D567&lt;=40),"36–40",
AND(D567&gt;=41,D567&lt;=45),"41–45",
AND(D567&gt;=46,D567&lt;=50),"46–50",
AND(D567&gt;=51,D567&lt;=60),"51–60")</f>
        <v>36–40</v>
      </c>
    </row>
    <row r="568" spans="1:14" x14ac:dyDescent="0.35">
      <c r="A568" t="s">
        <v>1130</v>
      </c>
      <c r="B568" t="s">
        <v>1131</v>
      </c>
      <c r="C568" t="s">
        <v>21</v>
      </c>
      <c r="D568">
        <v>31</v>
      </c>
      <c r="E568" t="s">
        <v>81</v>
      </c>
      <c r="F568" t="s">
        <v>43</v>
      </c>
      <c r="G568" t="s">
        <v>53</v>
      </c>
      <c r="H568" s="1">
        <v>45430</v>
      </c>
      <c r="J568">
        <v>1140000</v>
      </c>
      <c r="K568">
        <v>0.18</v>
      </c>
      <c r="L568" t="s">
        <v>24</v>
      </c>
      <c r="M568">
        <f ca="1">IF(ISBLANK(Table1[[#This Row],[Exit]]),DATEDIF(Table1[[#This Row],[Hire]],TODAY(),"Y"),DATEDIF(Table1[[#This Row],[Hire]],Table1[[#This Row],[Exit]],"Y"))</f>
        <v>1</v>
      </c>
      <c r="N568" t="str" cm="1">
        <f t="array" ref="N568">_xlfn.IFS(
AND(D568&gt;=26,D568&lt;=30),"26–30",
AND(D568&gt;=31,D568&lt;=35),"31–35",
AND(D568&gt;=36,D568&lt;=40),"36–40",
AND(D568&gt;=41,D568&lt;=45),"41–45",
AND(D568&gt;=46,D568&lt;=50),"46–50",
AND(D568&gt;=51,D568&lt;=60),"51–60")</f>
        <v>31–35</v>
      </c>
    </row>
    <row r="569" spans="1:14" x14ac:dyDescent="0.35">
      <c r="A569" t="s">
        <v>1132</v>
      </c>
      <c r="B569" t="s">
        <v>1133</v>
      </c>
      <c r="C569" t="s">
        <v>21</v>
      </c>
      <c r="D569">
        <v>39</v>
      </c>
      <c r="E569" t="s">
        <v>52</v>
      </c>
      <c r="F569" t="s">
        <v>16</v>
      </c>
      <c r="G569" t="s">
        <v>17</v>
      </c>
      <c r="H569" s="1">
        <v>44509</v>
      </c>
      <c r="J569">
        <v>1142000</v>
      </c>
      <c r="K569">
        <v>0.31</v>
      </c>
      <c r="L569" t="s">
        <v>24</v>
      </c>
      <c r="M569">
        <f ca="1">IF(ISBLANK(Table1[[#This Row],[Exit]]),DATEDIF(Table1[[#This Row],[Hire]],TODAY(),"Y"),DATEDIF(Table1[[#This Row],[Hire]],Table1[[#This Row],[Exit]],"Y"))</f>
        <v>4</v>
      </c>
      <c r="N569" t="str" cm="1">
        <f t="array" ref="N569">_xlfn.IFS(
AND(D569&gt;=26,D569&lt;=30),"26–30",
AND(D569&gt;=31,D569&lt;=35),"31–35",
AND(D569&gt;=36,D569&lt;=40),"36–40",
AND(D569&gt;=41,D569&lt;=45),"41–45",
AND(D569&gt;=46,D569&lt;=50),"46–50",
AND(D569&gt;=51,D569&lt;=60),"51–60")</f>
        <v>36–40</v>
      </c>
    </row>
    <row r="570" spans="1:14" x14ac:dyDescent="0.35">
      <c r="A570" t="s">
        <v>1134</v>
      </c>
      <c r="B570" t="s">
        <v>1135</v>
      </c>
      <c r="C570" t="s">
        <v>21</v>
      </c>
      <c r="D570">
        <v>31</v>
      </c>
      <c r="E570" t="s">
        <v>66</v>
      </c>
      <c r="F570" t="s">
        <v>16</v>
      </c>
      <c r="G570" t="s">
        <v>23</v>
      </c>
      <c r="H570" s="1">
        <v>43963</v>
      </c>
      <c r="J570">
        <v>1144000</v>
      </c>
      <c r="K570">
        <v>0</v>
      </c>
      <c r="L570" t="s">
        <v>24</v>
      </c>
      <c r="M570">
        <f ca="1">IF(ISBLANK(Table1[[#This Row],[Exit]]),DATEDIF(Table1[[#This Row],[Hire]],TODAY(),"Y"),DATEDIF(Table1[[#This Row],[Hire]],Table1[[#This Row],[Exit]],"Y"))</f>
        <v>5</v>
      </c>
      <c r="N570" t="str" cm="1">
        <f t="array" ref="N570">_xlfn.IFS(
AND(D570&gt;=26,D570&lt;=30),"26–30",
AND(D570&gt;=31,D570&lt;=35),"31–35",
AND(D570&gt;=36,D570&lt;=40),"36–40",
AND(D570&gt;=41,D570&lt;=45),"41–45",
AND(D570&gt;=46,D570&lt;=50),"46–50",
AND(D570&gt;=51,D570&lt;=60),"51–60")</f>
        <v>31–35</v>
      </c>
    </row>
    <row r="571" spans="1:14" x14ac:dyDescent="0.35">
      <c r="A571" t="s">
        <v>1136</v>
      </c>
      <c r="B571" t="s">
        <v>1137</v>
      </c>
      <c r="C571" t="s">
        <v>21</v>
      </c>
      <c r="D571">
        <v>45</v>
      </c>
      <c r="E571" t="s">
        <v>31</v>
      </c>
      <c r="F571" t="s">
        <v>16</v>
      </c>
      <c r="G571" t="s">
        <v>53</v>
      </c>
      <c r="H571" s="1">
        <v>44815</v>
      </c>
      <c r="J571">
        <v>1146000</v>
      </c>
      <c r="K571">
        <v>0</v>
      </c>
      <c r="L571" t="s">
        <v>24</v>
      </c>
      <c r="M571">
        <f ca="1">IF(ISBLANK(Table1[[#This Row],[Exit]]),DATEDIF(Table1[[#This Row],[Hire]],TODAY(),"Y"),DATEDIF(Table1[[#This Row],[Hire]],Table1[[#This Row],[Exit]],"Y"))</f>
        <v>3</v>
      </c>
      <c r="N571" t="str" cm="1">
        <f t="array" ref="N571">_xlfn.IFS(
AND(D571&gt;=26,D571&lt;=30),"26–30",
AND(D571&gt;=31,D571&lt;=35),"31–35",
AND(D571&gt;=36,D571&lt;=40),"36–40",
AND(D571&gt;=41,D571&lt;=45),"41–45",
AND(D571&gt;=46,D571&lt;=50),"46–50",
AND(D571&gt;=51,D571&lt;=60),"51–60")</f>
        <v>41–45</v>
      </c>
    </row>
    <row r="572" spans="1:14" x14ac:dyDescent="0.35">
      <c r="A572" t="s">
        <v>1138</v>
      </c>
      <c r="B572" t="s">
        <v>1139</v>
      </c>
      <c r="C572" t="s">
        <v>14</v>
      </c>
      <c r="D572">
        <v>50</v>
      </c>
      <c r="E572" t="s">
        <v>81</v>
      </c>
      <c r="F572" t="s">
        <v>49</v>
      </c>
      <c r="G572" t="s">
        <v>34</v>
      </c>
      <c r="H572" s="1">
        <v>44857</v>
      </c>
      <c r="J572">
        <v>1148000</v>
      </c>
      <c r="K572">
        <v>0.13</v>
      </c>
      <c r="L572" t="s">
        <v>24</v>
      </c>
      <c r="M572">
        <f ca="1">IF(ISBLANK(Table1[[#This Row],[Exit]]),DATEDIF(Table1[[#This Row],[Hire]],TODAY(),"Y"),DATEDIF(Table1[[#This Row],[Hire]],Table1[[#This Row],[Exit]],"Y"))</f>
        <v>3</v>
      </c>
      <c r="N572" t="str" cm="1">
        <f t="array" ref="N572">_xlfn.IFS(
AND(D572&gt;=26,D572&lt;=30),"26–30",
AND(D572&gt;=31,D572&lt;=35),"31–35",
AND(D572&gt;=36,D572&lt;=40),"36–40",
AND(D572&gt;=41,D572&lt;=45),"41–45",
AND(D572&gt;=46,D572&lt;=50),"46–50",
AND(D572&gt;=51,D572&lt;=60),"51–60")</f>
        <v>46–50</v>
      </c>
    </row>
    <row r="573" spans="1:14" x14ac:dyDescent="0.35">
      <c r="A573" t="s">
        <v>217</v>
      </c>
      <c r="B573" t="s">
        <v>1140</v>
      </c>
      <c r="C573" t="s">
        <v>41</v>
      </c>
      <c r="D573">
        <v>36</v>
      </c>
      <c r="E573" t="s">
        <v>92</v>
      </c>
      <c r="F573" t="s">
        <v>59</v>
      </c>
      <c r="G573" t="s">
        <v>53</v>
      </c>
      <c r="H573" s="1">
        <v>45527</v>
      </c>
      <c r="J573">
        <v>1150000</v>
      </c>
      <c r="K573">
        <v>0</v>
      </c>
      <c r="L573" t="s">
        <v>24</v>
      </c>
      <c r="M573">
        <f ca="1">IF(ISBLANK(Table1[[#This Row],[Exit]]),DATEDIF(Table1[[#This Row],[Hire]],TODAY(),"Y"),DATEDIF(Table1[[#This Row],[Hire]],Table1[[#This Row],[Exit]],"Y"))</f>
        <v>1</v>
      </c>
      <c r="N573" t="str" cm="1">
        <f t="array" ref="N573">_xlfn.IFS(
AND(D573&gt;=26,D573&lt;=30),"26–30",
AND(D573&gt;=31,D573&lt;=35),"31–35",
AND(D573&gt;=36,D573&lt;=40),"36–40",
AND(D573&gt;=41,D573&lt;=45),"41–45",
AND(D573&gt;=46,D573&lt;=50),"46–50",
AND(D573&gt;=51,D573&lt;=60),"51–60")</f>
        <v>36–40</v>
      </c>
    </row>
    <row r="574" spans="1:14" x14ac:dyDescent="0.35">
      <c r="A574" t="s">
        <v>1141</v>
      </c>
      <c r="B574" t="s">
        <v>1142</v>
      </c>
      <c r="C574" t="s">
        <v>14</v>
      </c>
      <c r="D574">
        <v>45</v>
      </c>
      <c r="E574" t="s">
        <v>81</v>
      </c>
      <c r="F574" t="s">
        <v>46</v>
      </c>
      <c r="G574" t="s">
        <v>23</v>
      </c>
      <c r="H574" s="1">
        <v>45237</v>
      </c>
      <c r="J574">
        <v>1152000</v>
      </c>
      <c r="K574">
        <v>0.05</v>
      </c>
      <c r="L574" t="s">
        <v>24</v>
      </c>
      <c r="M574">
        <f ca="1">IF(ISBLANK(Table1[[#This Row],[Exit]]),DATEDIF(Table1[[#This Row],[Hire]],TODAY(),"Y"),DATEDIF(Table1[[#This Row],[Hire]],Table1[[#This Row],[Exit]],"Y"))</f>
        <v>2</v>
      </c>
      <c r="N574" t="str" cm="1">
        <f t="array" ref="N574">_xlfn.IFS(
AND(D574&gt;=26,D574&lt;=30),"26–30",
AND(D574&gt;=31,D574&lt;=35),"31–35",
AND(D574&gt;=36,D574&lt;=40),"36–40",
AND(D574&gt;=41,D574&lt;=45),"41–45",
AND(D574&gt;=46,D574&lt;=50),"46–50",
AND(D574&gt;=51,D574&lt;=60),"51–60")</f>
        <v>41–45</v>
      </c>
    </row>
    <row r="575" spans="1:14" x14ac:dyDescent="0.35">
      <c r="A575" t="s">
        <v>1143</v>
      </c>
      <c r="B575" t="s">
        <v>1144</v>
      </c>
      <c r="C575" t="s">
        <v>21</v>
      </c>
      <c r="D575">
        <v>29</v>
      </c>
      <c r="E575" t="s">
        <v>22</v>
      </c>
      <c r="F575" t="s">
        <v>16</v>
      </c>
      <c r="G575" t="s">
        <v>34</v>
      </c>
      <c r="H575" s="1">
        <v>45206</v>
      </c>
      <c r="I575" s="1">
        <v>45430</v>
      </c>
      <c r="J575">
        <v>1154000</v>
      </c>
      <c r="K575">
        <v>0.21</v>
      </c>
      <c r="L575" t="s">
        <v>18</v>
      </c>
      <c r="M575">
        <f ca="1">IF(ISBLANK(Table1[[#This Row],[Exit]]),DATEDIF(Table1[[#This Row],[Hire]],TODAY(),"Y"),DATEDIF(Table1[[#This Row],[Hire]],Table1[[#This Row],[Exit]],"Y"))</f>
        <v>0</v>
      </c>
      <c r="N575" t="str" cm="1">
        <f t="array" ref="N575">_xlfn.IFS(
AND(D575&gt;=26,D575&lt;=30),"26–30",
AND(D575&gt;=31,D575&lt;=35),"31–35",
AND(D575&gt;=36,D575&lt;=40),"36–40",
AND(D575&gt;=41,D575&lt;=45),"41–45",
AND(D575&gt;=46,D575&lt;=50),"46–50",
AND(D575&gt;=51,D575&lt;=60),"51–60")</f>
        <v>26–30</v>
      </c>
    </row>
    <row r="576" spans="1:14" x14ac:dyDescent="0.35">
      <c r="A576" t="s">
        <v>1145</v>
      </c>
      <c r="B576" t="s">
        <v>1146</v>
      </c>
      <c r="C576" t="s">
        <v>41</v>
      </c>
      <c r="D576">
        <v>41</v>
      </c>
      <c r="E576" t="s">
        <v>92</v>
      </c>
      <c r="F576" t="s">
        <v>59</v>
      </c>
      <c r="G576" t="s">
        <v>34</v>
      </c>
      <c r="H576" s="1">
        <v>44677</v>
      </c>
      <c r="J576">
        <v>1156000</v>
      </c>
      <c r="K576">
        <v>0</v>
      </c>
      <c r="L576" t="s">
        <v>24</v>
      </c>
      <c r="M576">
        <f ca="1">IF(ISBLANK(Table1[[#This Row],[Exit]]),DATEDIF(Table1[[#This Row],[Hire]],TODAY(),"Y"),DATEDIF(Table1[[#This Row],[Hire]],Table1[[#This Row],[Exit]],"Y"))</f>
        <v>3</v>
      </c>
      <c r="N576" t="str" cm="1">
        <f t="array" ref="N576">_xlfn.IFS(
AND(D576&gt;=26,D576&lt;=30),"26–30",
AND(D576&gt;=31,D576&lt;=35),"31–35",
AND(D576&gt;=36,D576&lt;=40),"36–40",
AND(D576&gt;=41,D576&lt;=45),"41–45",
AND(D576&gt;=46,D576&lt;=50),"46–50",
AND(D576&gt;=51,D576&lt;=60),"51–60")</f>
        <v>41–45</v>
      </c>
    </row>
    <row r="577" spans="1:14" x14ac:dyDescent="0.35">
      <c r="A577" t="s">
        <v>1147</v>
      </c>
      <c r="B577" t="s">
        <v>1148</v>
      </c>
      <c r="C577" t="s">
        <v>14</v>
      </c>
      <c r="D577">
        <v>47</v>
      </c>
      <c r="E577" t="s">
        <v>31</v>
      </c>
      <c r="F577" t="s">
        <v>16</v>
      </c>
      <c r="G577" t="s">
        <v>17</v>
      </c>
      <c r="H577" s="1">
        <v>43889</v>
      </c>
      <c r="J577">
        <v>1158000</v>
      </c>
      <c r="K577">
        <v>7.0000000000000007E-2</v>
      </c>
      <c r="L577" t="s">
        <v>24</v>
      </c>
      <c r="M577">
        <f ca="1">IF(ISBLANK(Table1[[#This Row],[Exit]]),DATEDIF(Table1[[#This Row],[Hire]],TODAY(),"Y"),DATEDIF(Table1[[#This Row],[Hire]],Table1[[#This Row],[Exit]],"Y"))</f>
        <v>5</v>
      </c>
      <c r="N577" t="str" cm="1">
        <f t="array" ref="N577">_xlfn.IFS(
AND(D577&gt;=26,D577&lt;=30),"26–30",
AND(D577&gt;=31,D577&lt;=35),"31–35",
AND(D577&gt;=36,D577&lt;=40),"36–40",
AND(D577&gt;=41,D577&lt;=45),"41–45",
AND(D577&gt;=46,D577&lt;=50),"46–50",
AND(D577&gt;=51,D577&lt;=60),"51–60")</f>
        <v>46–50</v>
      </c>
    </row>
    <row r="578" spans="1:14" x14ac:dyDescent="0.35">
      <c r="A578" t="s">
        <v>1149</v>
      </c>
      <c r="B578" t="s">
        <v>1150</v>
      </c>
      <c r="C578" t="s">
        <v>21</v>
      </c>
      <c r="D578">
        <v>38</v>
      </c>
      <c r="E578" t="s">
        <v>15</v>
      </c>
      <c r="F578" t="s">
        <v>16</v>
      </c>
      <c r="G578" t="s">
        <v>17</v>
      </c>
      <c r="H578" s="1">
        <v>44116</v>
      </c>
      <c r="J578">
        <v>1160000</v>
      </c>
      <c r="K578">
        <v>0</v>
      </c>
      <c r="L578" t="s">
        <v>24</v>
      </c>
      <c r="M578">
        <f ca="1">IF(ISBLANK(Table1[[#This Row],[Exit]]),DATEDIF(Table1[[#This Row],[Hire]],TODAY(),"Y"),DATEDIF(Table1[[#This Row],[Hire]],Table1[[#This Row],[Exit]],"Y"))</f>
        <v>5</v>
      </c>
      <c r="N578" t="str" cm="1">
        <f t="array" ref="N578">_xlfn.IFS(
AND(D578&gt;=26,D578&lt;=30),"26–30",
AND(D578&gt;=31,D578&lt;=35),"31–35",
AND(D578&gt;=36,D578&lt;=40),"36–40",
AND(D578&gt;=41,D578&lt;=45),"41–45",
AND(D578&gt;=46,D578&lt;=50),"46–50",
AND(D578&gt;=51,D578&lt;=60),"51–60")</f>
        <v>36–40</v>
      </c>
    </row>
    <row r="579" spans="1:14" x14ac:dyDescent="0.35">
      <c r="A579" t="s">
        <v>1151</v>
      </c>
      <c r="B579" t="s">
        <v>1152</v>
      </c>
      <c r="C579" t="s">
        <v>21</v>
      </c>
      <c r="D579">
        <v>40</v>
      </c>
      <c r="E579" t="s">
        <v>22</v>
      </c>
      <c r="F579" t="s">
        <v>16</v>
      </c>
      <c r="G579" t="s">
        <v>23</v>
      </c>
      <c r="H579" s="1">
        <v>44588</v>
      </c>
      <c r="I579" s="1">
        <v>45527</v>
      </c>
      <c r="J579">
        <v>1162000</v>
      </c>
      <c r="K579">
        <v>0</v>
      </c>
      <c r="L579" t="s">
        <v>18</v>
      </c>
      <c r="M579">
        <f ca="1">IF(ISBLANK(Table1[[#This Row],[Exit]]),DATEDIF(Table1[[#This Row],[Hire]],TODAY(),"Y"),DATEDIF(Table1[[#This Row],[Hire]],Table1[[#This Row],[Exit]],"Y"))</f>
        <v>2</v>
      </c>
      <c r="N579" t="str" cm="1">
        <f t="array" ref="N579">_xlfn.IFS(
AND(D579&gt;=26,D579&lt;=30),"26–30",
AND(D579&gt;=31,D579&lt;=35),"31–35",
AND(D579&gt;=36,D579&lt;=40),"36–40",
AND(D579&gt;=41,D579&lt;=45),"41–45",
AND(D579&gt;=46,D579&lt;=50),"46–50",
AND(D579&gt;=51,D579&lt;=60),"51–60")</f>
        <v>36–40</v>
      </c>
    </row>
    <row r="580" spans="1:14" x14ac:dyDescent="0.35">
      <c r="A580" t="s">
        <v>1153</v>
      </c>
      <c r="B580" t="s">
        <v>1154</v>
      </c>
      <c r="C580" t="s">
        <v>21</v>
      </c>
      <c r="D580">
        <v>45</v>
      </c>
      <c r="E580" t="s">
        <v>27</v>
      </c>
      <c r="F580" t="s">
        <v>28</v>
      </c>
      <c r="G580" t="s">
        <v>17</v>
      </c>
      <c r="H580" s="1">
        <v>45337</v>
      </c>
      <c r="J580">
        <v>1164000</v>
      </c>
      <c r="K580">
        <v>0.28000000000000003</v>
      </c>
      <c r="L580" t="s">
        <v>24</v>
      </c>
      <c r="M580">
        <f ca="1">IF(ISBLANK(Table1[[#This Row],[Exit]]),DATEDIF(Table1[[#This Row],[Hire]],TODAY(),"Y"),DATEDIF(Table1[[#This Row],[Hire]],Table1[[#This Row],[Exit]],"Y"))</f>
        <v>1</v>
      </c>
      <c r="N580" t="str" cm="1">
        <f t="array" ref="N580">_xlfn.IFS(
AND(D580&gt;=26,D580&lt;=30),"26–30",
AND(D580&gt;=31,D580&lt;=35),"31–35",
AND(D580&gt;=36,D580&lt;=40),"36–40",
AND(D580&gt;=41,D580&lt;=45),"41–45",
AND(D580&gt;=46,D580&lt;=50),"46–50",
AND(D580&gt;=51,D580&lt;=60),"51–60")</f>
        <v>41–45</v>
      </c>
    </row>
    <row r="581" spans="1:14" x14ac:dyDescent="0.35">
      <c r="A581" t="s">
        <v>1155</v>
      </c>
      <c r="B581" t="s">
        <v>1156</v>
      </c>
      <c r="C581" t="s">
        <v>21</v>
      </c>
      <c r="D581">
        <v>51</v>
      </c>
      <c r="E581" t="s">
        <v>31</v>
      </c>
      <c r="F581" t="s">
        <v>16</v>
      </c>
      <c r="G581" t="s">
        <v>23</v>
      </c>
      <c r="H581" s="1">
        <v>45332</v>
      </c>
      <c r="J581">
        <v>1166000</v>
      </c>
      <c r="K581">
        <v>0</v>
      </c>
      <c r="L581" t="s">
        <v>24</v>
      </c>
      <c r="M581">
        <f ca="1">IF(ISBLANK(Table1[[#This Row],[Exit]]),DATEDIF(Table1[[#This Row],[Hire]],TODAY(),"Y"),DATEDIF(Table1[[#This Row],[Hire]],Table1[[#This Row],[Exit]],"Y"))</f>
        <v>1</v>
      </c>
      <c r="N581" t="str" cm="1">
        <f t="array" ref="N581">_xlfn.IFS(
AND(D581&gt;=26,D581&lt;=30),"26–30",
AND(D581&gt;=31,D581&lt;=35),"31–35",
AND(D581&gt;=36,D581&lt;=40),"36–40",
AND(D581&gt;=41,D581&lt;=45),"41–45",
AND(D581&gt;=46,D581&lt;=50),"46–50",
AND(D581&gt;=51,D581&lt;=60),"51–60")</f>
        <v>51–60</v>
      </c>
    </row>
    <row r="582" spans="1:14" x14ac:dyDescent="0.35">
      <c r="A582" t="s">
        <v>258</v>
      </c>
      <c r="B582" t="s">
        <v>1157</v>
      </c>
      <c r="C582" t="s">
        <v>14</v>
      </c>
      <c r="D582">
        <v>35</v>
      </c>
      <c r="E582" t="s">
        <v>27</v>
      </c>
      <c r="F582" t="s">
        <v>28</v>
      </c>
      <c r="G582" t="s">
        <v>34</v>
      </c>
      <c r="H582" s="1">
        <v>44183</v>
      </c>
      <c r="J582">
        <v>1168000</v>
      </c>
      <c r="K582">
        <v>0.12</v>
      </c>
      <c r="L582" t="s">
        <v>24</v>
      </c>
      <c r="M582">
        <f ca="1">IF(ISBLANK(Table1[[#This Row],[Exit]]),DATEDIF(Table1[[#This Row],[Hire]],TODAY(),"Y"),DATEDIF(Table1[[#This Row],[Hire]],Table1[[#This Row],[Exit]],"Y"))</f>
        <v>5</v>
      </c>
      <c r="N582" t="str" cm="1">
        <f t="array" ref="N582">_xlfn.IFS(
AND(D582&gt;=26,D582&lt;=30),"26–30",
AND(D582&gt;=31,D582&lt;=35),"31–35",
AND(D582&gt;=36,D582&lt;=40),"36–40",
AND(D582&gt;=41,D582&lt;=45),"41–45",
AND(D582&gt;=46,D582&lt;=50),"46–50",
AND(D582&gt;=51,D582&lt;=60),"51–60")</f>
        <v>31–35</v>
      </c>
    </row>
    <row r="583" spans="1:14" x14ac:dyDescent="0.35">
      <c r="A583" t="s">
        <v>1158</v>
      </c>
      <c r="B583" t="s">
        <v>1159</v>
      </c>
      <c r="C583" t="s">
        <v>21</v>
      </c>
      <c r="D583">
        <v>51</v>
      </c>
      <c r="E583" t="s">
        <v>15</v>
      </c>
      <c r="F583" t="s">
        <v>16</v>
      </c>
      <c r="G583" t="s">
        <v>23</v>
      </c>
      <c r="H583" s="1">
        <v>43837</v>
      </c>
      <c r="J583">
        <v>1170000</v>
      </c>
      <c r="K583">
        <v>0.13</v>
      </c>
      <c r="L583" t="s">
        <v>24</v>
      </c>
      <c r="M583">
        <f ca="1">IF(ISBLANK(Table1[[#This Row],[Exit]]),DATEDIF(Table1[[#This Row],[Hire]],TODAY(),"Y"),DATEDIF(Table1[[#This Row],[Hire]],Table1[[#This Row],[Exit]],"Y"))</f>
        <v>6</v>
      </c>
      <c r="N583" t="str" cm="1">
        <f t="array" ref="N583">_xlfn.IFS(
AND(D583&gt;=26,D583&lt;=30),"26–30",
AND(D583&gt;=31,D583&lt;=35),"31–35",
AND(D583&gt;=36,D583&lt;=40),"36–40",
AND(D583&gt;=41,D583&lt;=45),"41–45",
AND(D583&gt;=46,D583&lt;=50),"46–50",
AND(D583&gt;=51,D583&lt;=60),"51–60")</f>
        <v>51–60</v>
      </c>
    </row>
    <row r="584" spans="1:14" x14ac:dyDescent="0.35">
      <c r="A584" t="s">
        <v>1160</v>
      </c>
      <c r="B584" t="s">
        <v>1161</v>
      </c>
      <c r="C584" t="s">
        <v>14</v>
      </c>
      <c r="D584">
        <v>35</v>
      </c>
      <c r="E584" t="s">
        <v>15</v>
      </c>
      <c r="F584" t="s">
        <v>16</v>
      </c>
      <c r="G584" t="s">
        <v>34</v>
      </c>
      <c r="H584" s="1">
        <v>45206</v>
      </c>
      <c r="J584">
        <v>1172000</v>
      </c>
      <c r="K584">
        <v>0.06</v>
      </c>
      <c r="L584" t="s">
        <v>24</v>
      </c>
      <c r="M584">
        <f ca="1">IF(ISBLANK(Table1[[#This Row],[Exit]]),DATEDIF(Table1[[#This Row],[Hire]],TODAY(),"Y"),DATEDIF(Table1[[#This Row],[Hire]],Table1[[#This Row],[Exit]],"Y"))</f>
        <v>2</v>
      </c>
      <c r="N584" t="str" cm="1">
        <f t="array" ref="N584">_xlfn.IFS(
AND(D584&gt;=26,D584&lt;=30),"26–30",
AND(D584&gt;=31,D584&lt;=35),"31–35",
AND(D584&gt;=36,D584&lt;=40),"36–40",
AND(D584&gt;=41,D584&lt;=45),"41–45",
AND(D584&gt;=46,D584&lt;=50),"46–50",
AND(D584&gt;=51,D584&lt;=60),"51–60")</f>
        <v>31–35</v>
      </c>
    </row>
    <row r="585" spans="1:14" x14ac:dyDescent="0.35">
      <c r="A585" t="s">
        <v>1162</v>
      </c>
      <c r="B585" t="s">
        <v>1163</v>
      </c>
      <c r="C585" t="s">
        <v>14</v>
      </c>
      <c r="D585">
        <v>31</v>
      </c>
      <c r="E585" t="s">
        <v>42</v>
      </c>
      <c r="F585" t="s">
        <v>43</v>
      </c>
      <c r="G585" t="s">
        <v>34</v>
      </c>
      <c r="H585" s="1">
        <v>44487</v>
      </c>
      <c r="J585">
        <v>1174000</v>
      </c>
      <c r="K585">
        <v>0.39</v>
      </c>
      <c r="L585" t="s">
        <v>24</v>
      </c>
      <c r="M585">
        <f ca="1">IF(ISBLANK(Table1[[#This Row],[Exit]]),DATEDIF(Table1[[#This Row],[Hire]],TODAY(),"Y"),DATEDIF(Table1[[#This Row],[Hire]],Table1[[#This Row],[Exit]],"Y"))</f>
        <v>4</v>
      </c>
      <c r="N585" t="str" cm="1">
        <f t="array" ref="N585">_xlfn.IFS(
AND(D585&gt;=26,D585&lt;=30),"26–30",
AND(D585&gt;=31,D585&lt;=35),"31–35",
AND(D585&gt;=36,D585&lt;=40),"36–40",
AND(D585&gt;=41,D585&lt;=45),"41–45",
AND(D585&gt;=46,D585&lt;=50),"46–50",
AND(D585&gt;=51,D585&lt;=60),"51–60")</f>
        <v>31–35</v>
      </c>
    </row>
    <row r="586" spans="1:14" x14ac:dyDescent="0.35">
      <c r="A586" t="s">
        <v>1164</v>
      </c>
      <c r="B586" t="s">
        <v>1165</v>
      </c>
      <c r="C586" t="s">
        <v>14</v>
      </c>
      <c r="D586">
        <v>31</v>
      </c>
      <c r="E586" t="s">
        <v>42</v>
      </c>
      <c r="F586" t="s">
        <v>46</v>
      </c>
      <c r="G586" t="s">
        <v>23</v>
      </c>
      <c r="H586" s="1">
        <v>44791</v>
      </c>
      <c r="J586">
        <v>1176000</v>
      </c>
      <c r="K586">
        <v>0</v>
      </c>
      <c r="L586" t="s">
        <v>24</v>
      </c>
      <c r="M586">
        <f ca="1">IF(ISBLANK(Table1[[#This Row],[Exit]]),DATEDIF(Table1[[#This Row],[Hire]],TODAY(),"Y"),DATEDIF(Table1[[#This Row],[Hire]],Table1[[#This Row],[Exit]],"Y"))</f>
        <v>3</v>
      </c>
      <c r="N586" t="str" cm="1">
        <f t="array" ref="N586">_xlfn.IFS(
AND(D586&gt;=26,D586&lt;=30),"26–30",
AND(D586&gt;=31,D586&lt;=35),"31–35",
AND(D586&gt;=36,D586&lt;=40),"36–40",
AND(D586&gt;=41,D586&lt;=45),"41–45",
AND(D586&gt;=46,D586&lt;=50),"46–50",
AND(D586&gt;=51,D586&lt;=60),"51–60")</f>
        <v>31–35</v>
      </c>
    </row>
    <row r="587" spans="1:14" x14ac:dyDescent="0.35">
      <c r="A587" t="s">
        <v>1166</v>
      </c>
      <c r="B587" t="s">
        <v>1167</v>
      </c>
      <c r="C587" t="s">
        <v>14</v>
      </c>
      <c r="D587">
        <v>31</v>
      </c>
      <c r="E587" t="s">
        <v>42</v>
      </c>
      <c r="F587" t="s">
        <v>49</v>
      </c>
      <c r="G587" t="s">
        <v>17</v>
      </c>
      <c r="H587" s="1">
        <v>45440</v>
      </c>
      <c r="J587">
        <v>1178000</v>
      </c>
      <c r="K587">
        <v>0.1</v>
      </c>
      <c r="L587" t="s">
        <v>24</v>
      </c>
      <c r="M587">
        <f ca="1">IF(ISBLANK(Table1[[#This Row],[Exit]]),DATEDIF(Table1[[#This Row],[Hire]],TODAY(),"Y"),DATEDIF(Table1[[#This Row],[Hire]],Table1[[#This Row],[Exit]],"Y"))</f>
        <v>1</v>
      </c>
      <c r="N587" t="str" cm="1">
        <f t="array" ref="N587">_xlfn.IFS(
AND(D587&gt;=26,D587&lt;=30),"26–30",
AND(D587&gt;=31,D587&lt;=35),"31–35",
AND(D587&gt;=36,D587&lt;=40),"36–40",
AND(D587&gt;=41,D587&lt;=45),"41–45",
AND(D587&gt;=46,D587&lt;=50),"46–50",
AND(D587&gt;=51,D587&lt;=60),"51–60")</f>
        <v>31–35</v>
      </c>
    </row>
    <row r="588" spans="1:14" x14ac:dyDescent="0.35">
      <c r="A588" t="s">
        <v>111</v>
      </c>
      <c r="B588" t="s">
        <v>1168</v>
      </c>
      <c r="C588" t="s">
        <v>21</v>
      </c>
      <c r="D588">
        <v>51</v>
      </c>
      <c r="E588" t="s">
        <v>52</v>
      </c>
      <c r="F588" t="s">
        <v>16</v>
      </c>
      <c r="G588" t="s">
        <v>53</v>
      </c>
      <c r="H588" s="1">
        <v>44811</v>
      </c>
      <c r="J588">
        <v>1180000</v>
      </c>
      <c r="K588">
        <v>0</v>
      </c>
      <c r="L588" t="s">
        <v>24</v>
      </c>
      <c r="M588">
        <f ca="1">IF(ISBLANK(Table1[[#This Row],[Exit]]),DATEDIF(Table1[[#This Row],[Hire]],TODAY(),"Y"),DATEDIF(Table1[[#This Row],[Hire]],Table1[[#This Row],[Exit]],"Y"))</f>
        <v>3</v>
      </c>
      <c r="N588" t="str" cm="1">
        <f t="array" ref="N588">_xlfn.IFS(
AND(D588&gt;=26,D588&lt;=30),"26–30",
AND(D588&gt;=31,D588&lt;=35),"31–35",
AND(D588&gt;=36,D588&lt;=40),"36–40",
AND(D588&gt;=41,D588&lt;=45),"41–45",
AND(D588&gt;=46,D588&lt;=50),"46–50",
AND(D588&gt;=51,D588&lt;=60),"51–60")</f>
        <v>51–60</v>
      </c>
    </row>
    <row r="589" spans="1:14" x14ac:dyDescent="0.35">
      <c r="A589" t="s">
        <v>1169</v>
      </c>
      <c r="B589" t="s">
        <v>1170</v>
      </c>
      <c r="C589" t="s">
        <v>14</v>
      </c>
      <c r="D589">
        <v>36</v>
      </c>
      <c r="E589" t="s">
        <v>42</v>
      </c>
      <c r="F589" t="s">
        <v>46</v>
      </c>
      <c r="G589" t="s">
        <v>53</v>
      </c>
      <c r="H589" s="1">
        <v>44564</v>
      </c>
      <c r="I589" s="1">
        <v>45206</v>
      </c>
      <c r="J589">
        <v>1182000</v>
      </c>
      <c r="K589">
        <v>0</v>
      </c>
      <c r="L589" t="s">
        <v>18</v>
      </c>
      <c r="M589">
        <f ca="1">IF(ISBLANK(Table1[[#This Row],[Exit]]),DATEDIF(Table1[[#This Row],[Hire]],TODAY(),"Y"),DATEDIF(Table1[[#This Row],[Hire]],Table1[[#This Row],[Exit]],"Y"))</f>
        <v>1</v>
      </c>
      <c r="N589" t="str" cm="1">
        <f t="array" ref="N589">_xlfn.IFS(
AND(D589&gt;=26,D589&lt;=30),"26–30",
AND(D589&gt;=31,D589&lt;=35),"31–35",
AND(D589&gt;=36,D589&lt;=40),"36–40",
AND(D589&gt;=41,D589&lt;=45),"41–45",
AND(D589&gt;=46,D589&lt;=50),"46–50",
AND(D589&gt;=51,D589&lt;=60),"51–60")</f>
        <v>36–40</v>
      </c>
    </row>
    <row r="590" spans="1:14" x14ac:dyDescent="0.35">
      <c r="A590" t="s">
        <v>1171</v>
      </c>
      <c r="B590" t="s">
        <v>1172</v>
      </c>
      <c r="C590" t="s">
        <v>21</v>
      </c>
      <c r="D590">
        <v>45</v>
      </c>
      <c r="E590" t="s">
        <v>58</v>
      </c>
      <c r="F590" t="s">
        <v>59</v>
      </c>
      <c r="G590" t="s">
        <v>34</v>
      </c>
      <c r="H590" s="1">
        <v>45074</v>
      </c>
      <c r="J590">
        <v>1184000</v>
      </c>
      <c r="K590">
        <v>7.0000000000000007E-2</v>
      </c>
      <c r="L590" t="s">
        <v>24</v>
      </c>
      <c r="M590">
        <f ca="1">IF(ISBLANK(Table1[[#This Row],[Exit]]),DATEDIF(Table1[[#This Row],[Hire]],TODAY(),"Y"),DATEDIF(Table1[[#This Row],[Hire]],Table1[[#This Row],[Exit]],"Y"))</f>
        <v>2</v>
      </c>
      <c r="N590" t="str" cm="1">
        <f t="array" ref="N590">_xlfn.IFS(
AND(D590&gt;=26,D590&lt;=30),"26–30",
AND(D590&gt;=31,D590&lt;=35),"31–35",
AND(D590&gt;=36,D590&lt;=40),"36–40",
AND(D590&gt;=41,D590&lt;=45),"41–45",
AND(D590&gt;=46,D590&lt;=50),"46–50",
AND(D590&gt;=51,D590&lt;=60),"51–60")</f>
        <v>41–45</v>
      </c>
    </row>
    <row r="591" spans="1:14" x14ac:dyDescent="0.35">
      <c r="A591" t="s">
        <v>1096</v>
      </c>
      <c r="B591" t="s">
        <v>1173</v>
      </c>
      <c r="C591" t="s">
        <v>14</v>
      </c>
      <c r="D591">
        <v>37</v>
      </c>
      <c r="E591" t="s">
        <v>52</v>
      </c>
      <c r="F591" t="s">
        <v>16</v>
      </c>
      <c r="G591" t="s">
        <v>23</v>
      </c>
      <c r="H591" s="1">
        <v>45245</v>
      </c>
      <c r="J591">
        <v>1186000</v>
      </c>
      <c r="K591">
        <v>0</v>
      </c>
      <c r="L591" t="s">
        <v>24</v>
      </c>
      <c r="M591">
        <f ca="1">IF(ISBLANK(Table1[[#This Row],[Exit]]),DATEDIF(Table1[[#This Row],[Hire]],TODAY(),"Y"),DATEDIF(Table1[[#This Row],[Hire]],Table1[[#This Row],[Exit]],"Y"))</f>
        <v>2</v>
      </c>
      <c r="N591" t="str" cm="1">
        <f t="array" ref="N591">_xlfn.IFS(
AND(D591&gt;=26,D591&lt;=30),"26–30",
AND(D591&gt;=31,D591&lt;=35),"31–35",
AND(D591&gt;=36,D591&lt;=40),"36–40",
AND(D591&gt;=41,D591&lt;=45),"41–45",
AND(D591&gt;=46,D591&lt;=50),"46–50",
AND(D591&gt;=51,D591&lt;=60),"51–60")</f>
        <v>36–40</v>
      </c>
    </row>
    <row r="592" spans="1:14" x14ac:dyDescent="0.35">
      <c r="A592" t="s">
        <v>918</v>
      </c>
      <c r="B592" t="s">
        <v>1174</v>
      </c>
      <c r="C592" t="s">
        <v>21</v>
      </c>
      <c r="D592">
        <v>37</v>
      </c>
      <c r="E592" t="s">
        <v>52</v>
      </c>
      <c r="F592" t="s">
        <v>16</v>
      </c>
      <c r="G592" t="s">
        <v>34</v>
      </c>
      <c r="H592" s="1">
        <v>43851</v>
      </c>
      <c r="J592">
        <v>1188000</v>
      </c>
      <c r="K592">
        <v>0</v>
      </c>
      <c r="L592" t="s">
        <v>24</v>
      </c>
      <c r="M592">
        <f ca="1">IF(ISBLANK(Table1[[#This Row],[Exit]]),DATEDIF(Table1[[#This Row],[Hire]],TODAY(),"Y"),DATEDIF(Table1[[#This Row],[Hire]],Table1[[#This Row],[Exit]],"Y"))</f>
        <v>6</v>
      </c>
      <c r="N592" t="str" cm="1">
        <f t="array" ref="N592">_xlfn.IFS(
AND(D592&gt;=26,D592&lt;=30),"26–30",
AND(D592&gt;=31,D592&lt;=35),"31–35",
AND(D592&gt;=36,D592&lt;=40),"36–40",
AND(D592&gt;=41,D592&lt;=45),"41–45",
AND(D592&gt;=46,D592&lt;=50),"46–50",
AND(D592&gt;=51,D592&lt;=60),"51–60")</f>
        <v>36–40</v>
      </c>
    </row>
    <row r="593" spans="1:14" x14ac:dyDescent="0.35">
      <c r="A593" t="s">
        <v>1175</v>
      </c>
      <c r="B593" t="s">
        <v>1176</v>
      </c>
      <c r="C593" t="s">
        <v>21</v>
      </c>
      <c r="D593">
        <v>47</v>
      </c>
      <c r="E593" t="s">
        <v>66</v>
      </c>
      <c r="F593" t="s">
        <v>16</v>
      </c>
      <c r="G593" t="s">
        <v>17</v>
      </c>
      <c r="H593" s="1">
        <v>45206</v>
      </c>
      <c r="J593">
        <v>1190000</v>
      </c>
      <c r="K593">
        <v>0</v>
      </c>
      <c r="L593" t="s">
        <v>24</v>
      </c>
      <c r="M593">
        <f ca="1">IF(ISBLANK(Table1[[#This Row],[Exit]]),DATEDIF(Table1[[#This Row],[Hire]],TODAY(),"Y"),DATEDIF(Table1[[#This Row],[Hire]],Table1[[#This Row],[Exit]],"Y"))</f>
        <v>2</v>
      </c>
      <c r="N593" t="str" cm="1">
        <f t="array" ref="N593">_xlfn.IFS(
AND(D593&gt;=26,D593&lt;=30),"26–30",
AND(D593&gt;=31,D593&lt;=35),"31–35",
AND(D593&gt;=36,D593&lt;=40),"36–40",
AND(D593&gt;=41,D593&lt;=45),"41–45",
AND(D593&gt;=46,D593&lt;=50),"46–50",
AND(D593&gt;=51,D593&lt;=60),"51–60")</f>
        <v>46–50</v>
      </c>
    </row>
    <row r="594" spans="1:14" x14ac:dyDescent="0.35">
      <c r="A594" t="s">
        <v>1177</v>
      </c>
      <c r="B594" t="s">
        <v>1178</v>
      </c>
      <c r="C594" t="s">
        <v>41</v>
      </c>
      <c r="D594">
        <v>36</v>
      </c>
      <c r="E594" t="s">
        <v>58</v>
      </c>
      <c r="F594" t="s">
        <v>59</v>
      </c>
      <c r="G594" t="s">
        <v>23</v>
      </c>
      <c r="H594" s="1">
        <v>45401</v>
      </c>
      <c r="J594">
        <v>1192000</v>
      </c>
      <c r="K594">
        <v>0.1</v>
      </c>
      <c r="L594" t="s">
        <v>24</v>
      </c>
      <c r="M594">
        <f ca="1">IF(ISBLANK(Table1[[#This Row],[Exit]]),DATEDIF(Table1[[#This Row],[Hire]],TODAY(),"Y"),DATEDIF(Table1[[#This Row],[Hire]],Table1[[#This Row],[Exit]],"Y"))</f>
        <v>1</v>
      </c>
      <c r="N594" t="str" cm="1">
        <f t="array" ref="N594">_xlfn.IFS(
AND(D594&gt;=26,D594&lt;=30),"26–30",
AND(D594&gt;=31,D594&lt;=35),"31–35",
AND(D594&gt;=36,D594&lt;=40),"36–40",
AND(D594&gt;=41,D594&lt;=45),"41–45",
AND(D594&gt;=46,D594&lt;=50),"46–50",
AND(D594&gt;=51,D594&lt;=60),"51–60")</f>
        <v>36–40</v>
      </c>
    </row>
    <row r="595" spans="1:14" x14ac:dyDescent="0.35">
      <c r="A595" t="s">
        <v>1179</v>
      </c>
      <c r="B595" t="s">
        <v>1180</v>
      </c>
      <c r="C595" t="s">
        <v>14</v>
      </c>
      <c r="D595">
        <v>41</v>
      </c>
      <c r="E595" t="s">
        <v>66</v>
      </c>
      <c r="F595" t="s">
        <v>16</v>
      </c>
      <c r="G595" t="s">
        <v>34</v>
      </c>
      <c r="H595" s="1">
        <v>44083</v>
      </c>
      <c r="J595">
        <v>1194000</v>
      </c>
      <c r="K595">
        <v>0.09</v>
      </c>
      <c r="L595" t="s">
        <v>24</v>
      </c>
      <c r="M595">
        <f ca="1">IF(ISBLANK(Table1[[#This Row],[Exit]]),DATEDIF(Table1[[#This Row],[Hire]],TODAY(),"Y"),DATEDIF(Table1[[#This Row],[Hire]],Table1[[#This Row],[Exit]],"Y"))</f>
        <v>5</v>
      </c>
      <c r="N595" t="str" cm="1">
        <f t="array" ref="N595">_xlfn.IFS(
AND(D595&gt;=26,D595&lt;=30),"26–30",
AND(D595&gt;=31,D595&lt;=35),"31–35",
AND(D595&gt;=36,D595&lt;=40),"36–40",
AND(D595&gt;=41,D595&lt;=45),"41–45",
AND(D595&gt;=46,D595&lt;=50),"46–50",
AND(D595&gt;=51,D595&lt;=60),"51–60")</f>
        <v>41–45</v>
      </c>
    </row>
    <row r="596" spans="1:14" x14ac:dyDescent="0.35">
      <c r="A596" t="s">
        <v>967</v>
      </c>
      <c r="B596" t="s">
        <v>1181</v>
      </c>
      <c r="C596" t="s">
        <v>41</v>
      </c>
      <c r="D596">
        <v>51</v>
      </c>
      <c r="E596" t="s">
        <v>66</v>
      </c>
      <c r="F596" t="s">
        <v>16</v>
      </c>
      <c r="G596" t="s">
        <v>53</v>
      </c>
      <c r="H596" s="1">
        <v>45233</v>
      </c>
      <c r="J596">
        <v>1196000</v>
      </c>
      <c r="K596">
        <v>0.3</v>
      </c>
      <c r="L596" t="s">
        <v>24</v>
      </c>
      <c r="M596">
        <f ca="1">IF(ISBLANK(Table1[[#This Row],[Exit]]),DATEDIF(Table1[[#This Row],[Hire]],TODAY(),"Y"),DATEDIF(Table1[[#This Row],[Hire]],Table1[[#This Row],[Exit]],"Y"))</f>
        <v>2</v>
      </c>
      <c r="N596" t="str" cm="1">
        <f t="array" ref="N596">_xlfn.IFS(
AND(D596&gt;=26,D596&lt;=30),"26–30",
AND(D596&gt;=31,D596&lt;=35),"31–35",
AND(D596&gt;=36,D596&lt;=40),"36–40",
AND(D596&gt;=41,D596&lt;=45),"41–45",
AND(D596&gt;=46,D596&lt;=50),"46–50",
AND(D596&gt;=51,D596&lt;=60),"51–60")</f>
        <v>51–60</v>
      </c>
    </row>
    <row r="597" spans="1:14" x14ac:dyDescent="0.35">
      <c r="A597" t="s">
        <v>121</v>
      </c>
      <c r="B597" t="s">
        <v>1182</v>
      </c>
      <c r="C597" t="s">
        <v>14</v>
      </c>
      <c r="D597">
        <v>41</v>
      </c>
      <c r="E597" t="s">
        <v>58</v>
      </c>
      <c r="F597" t="s">
        <v>59</v>
      </c>
      <c r="G597" t="s">
        <v>53</v>
      </c>
      <c r="H597" s="1">
        <v>45412</v>
      </c>
      <c r="J597">
        <v>1198000</v>
      </c>
      <c r="K597">
        <v>0.23</v>
      </c>
      <c r="L597" t="s">
        <v>24</v>
      </c>
      <c r="M597">
        <f ca="1">IF(ISBLANK(Table1[[#This Row],[Exit]]),DATEDIF(Table1[[#This Row],[Hire]],TODAY(),"Y"),DATEDIF(Table1[[#This Row],[Hire]],Table1[[#This Row],[Exit]],"Y"))</f>
        <v>1</v>
      </c>
      <c r="N597" t="str" cm="1">
        <f t="array" ref="N597">_xlfn.IFS(
AND(D597&gt;=26,D597&lt;=30),"26–30",
AND(D597&gt;=31,D597&lt;=35),"31–35",
AND(D597&gt;=36,D597&lt;=40),"36–40",
AND(D597&gt;=41,D597&lt;=45),"41–45",
AND(D597&gt;=46,D597&lt;=50),"46–50",
AND(D597&gt;=51,D597&lt;=60),"51–60")</f>
        <v>41–45</v>
      </c>
    </row>
    <row r="598" spans="1:14" x14ac:dyDescent="0.35">
      <c r="A598" t="s">
        <v>1183</v>
      </c>
      <c r="B598" t="s">
        <v>1184</v>
      </c>
      <c r="C598" t="s">
        <v>21</v>
      </c>
      <c r="D598">
        <v>38</v>
      </c>
      <c r="E598" t="s">
        <v>15</v>
      </c>
      <c r="F598" t="s">
        <v>16</v>
      </c>
      <c r="G598" t="s">
        <v>53</v>
      </c>
      <c r="H598" s="1">
        <v>43887</v>
      </c>
      <c r="J598">
        <v>1200000</v>
      </c>
      <c r="K598">
        <v>0</v>
      </c>
      <c r="L598" t="s">
        <v>24</v>
      </c>
      <c r="M598">
        <f ca="1">IF(ISBLANK(Table1[[#This Row],[Exit]]),DATEDIF(Table1[[#This Row],[Hire]],TODAY(),"Y"),DATEDIF(Table1[[#This Row],[Hire]],Table1[[#This Row],[Exit]],"Y"))</f>
        <v>5</v>
      </c>
      <c r="N598" t="str" cm="1">
        <f t="array" ref="N598">_xlfn.IFS(
AND(D598&gt;=26,D598&lt;=30),"26–30",
AND(D598&gt;=31,D598&lt;=35),"31–35",
AND(D598&gt;=36,D598&lt;=40),"36–40",
AND(D598&gt;=41,D598&lt;=45),"41–45",
AND(D598&gt;=46,D598&lt;=50),"46–50",
AND(D598&gt;=51,D598&lt;=60),"51–60")</f>
        <v>36–40</v>
      </c>
    </row>
    <row r="599" spans="1:14" x14ac:dyDescent="0.35">
      <c r="A599" t="s">
        <v>1185</v>
      </c>
      <c r="B599" t="s">
        <v>1186</v>
      </c>
      <c r="C599" t="s">
        <v>21</v>
      </c>
      <c r="D599">
        <v>51</v>
      </c>
      <c r="E599" t="s">
        <v>22</v>
      </c>
      <c r="F599" t="s">
        <v>16</v>
      </c>
      <c r="G599" t="s">
        <v>53</v>
      </c>
      <c r="H599" s="1">
        <v>44815</v>
      </c>
      <c r="J599">
        <v>1202000</v>
      </c>
      <c r="K599">
        <v>0</v>
      </c>
      <c r="L599" t="s">
        <v>24</v>
      </c>
      <c r="M599">
        <f ca="1">IF(ISBLANK(Table1[[#This Row],[Exit]]),DATEDIF(Table1[[#This Row],[Hire]],TODAY(),"Y"),DATEDIF(Table1[[#This Row],[Hire]],Table1[[#This Row],[Exit]],"Y"))</f>
        <v>3</v>
      </c>
      <c r="N599" t="str" cm="1">
        <f t="array" ref="N599">_xlfn.IFS(
AND(D599&gt;=26,D599&lt;=30),"26–30",
AND(D599&gt;=31,D599&lt;=35),"31–35",
AND(D599&gt;=36,D599&lt;=40),"36–40",
AND(D599&gt;=41,D599&lt;=45),"41–45",
AND(D599&gt;=46,D599&lt;=50),"46–50",
AND(D599&gt;=51,D599&lt;=60),"51–60")</f>
        <v>51–60</v>
      </c>
    </row>
    <row r="600" spans="1:14" x14ac:dyDescent="0.35">
      <c r="A600" t="s">
        <v>1187</v>
      </c>
      <c r="B600" t="s">
        <v>1188</v>
      </c>
      <c r="C600" t="s">
        <v>21</v>
      </c>
      <c r="D600">
        <v>39</v>
      </c>
      <c r="E600" t="s">
        <v>81</v>
      </c>
      <c r="F600" t="s">
        <v>43</v>
      </c>
      <c r="G600" t="s">
        <v>53</v>
      </c>
      <c r="H600" s="1">
        <v>45430</v>
      </c>
      <c r="J600">
        <v>1204000</v>
      </c>
      <c r="K600">
        <v>0</v>
      </c>
      <c r="L600" t="s">
        <v>24</v>
      </c>
      <c r="M600">
        <f ca="1">IF(ISBLANK(Table1[[#This Row],[Exit]]),DATEDIF(Table1[[#This Row],[Hire]],TODAY(),"Y"),DATEDIF(Table1[[#This Row],[Hire]],Table1[[#This Row],[Exit]],"Y"))</f>
        <v>1</v>
      </c>
      <c r="N600" t="str" cm="1">
        <f t="array" ref="N600">_xlfn.IFS(
AND(D600&gt;=26,D600&lt;=30),"26–30",
AND(D600&gt;=31,D600&lt;=35),"31–35",
AND(D600&gt;=36,D600&lt;=40),"36–40",
AND(D600&gt;=41,D600&lt;=45),"41–45",
AND(D600&gt;=46,D600&lt;=50),"46–50",
AND(D600&gt;=51,D600&lt;=60),"51–60")</f>
        <v>36–40</v>
      </c>
    </row>
    <row r="601" spans="1:14" x14ac:dyDescent="0.35">
      <c r="A601" t="s">
        <v>1189</v>
      </c>
      <c r="B601" t="s">
        <v>1190</v>
      </c>
      <c r="C601" t="s">
        <v>21</v>
      </c>
      <c r="D601">
        <v>31</v>
      </c>
      <c r="E601" t="s">
        <v>52</v>
      </c>
      <c r="F601" t="s">
        <v>16</v>
      </c>
      <c r="G601" t="s">
        <v>17</v>
      </c>
      <c r="H601" s="1">
        <v>44509</v>
      </c>
      <c r="J601">
        <v>1206000</v>
      </c>
      <c r="K601">
        <v>0</v>
      </c>
      <c r="L601" t="s">
        <v>24</v>
      </c>
      <c r="M601">
        <f ca="1">IF(ISBLANK(Table1[[#This Row],[Exit]]),DATEDIF(Table1[[#This Row],[Hire]],TODAY(),"Y"),DATEDIF(Table1[[#This Row],[Hire]],Table1[[#This Row],[Exit]],"Y"))</f>
        <v>4</v>
      </c>
      <c r="N601" t="str" cm="1">
        <f t="array" ref="N601">_xlfn.IFS(
AND(D601&gt;=26,D601&lt;=30),"26–30",
AND(D601&gt;=31,D601&lt;=35),"31–35",
AND(D601&gt;=36,D601&lt;=40),"36–40",
AND(D601&gt;=41,D601&lt;=45),"41–45",
AND(D601&gt;=46,D601&lt;=50),"46–50",
AND(D601&gt;=51,D601&lt;=60),"51–60")</f>
        <v>31–35</v>
      </c>
    </row>
    <row r="602" spans="1:14" x14ac:dyDescent="0.35">
      <c r="A602" t="s">
        <v>1191</v>
      </c>
      <c r="B602" t="s">
        <v>1192</v>
      </c>
      <c r="C602" t="s">
        <v>21</v>
      </c>
      <c r="D602">
        <v>45</v>
      </c>
      <c r="E602" t="s">
        <v>66</v>
      </c>
      <c r="F602" t="s">
        <v>16</v>
      </c>
      <c r="G602" t="s">
        <v>23</v>
      </c>
      <c r="H602" s="1">
        <v>43963</v>
      </c>
      <c r="J602">
        <v>1208000</v>
      </c>
      <c r="K602">
        <v>0.11</v>
      </c>
      <c r="L602" t="s">
        <v>24</v>
      </c>
      <c r="M602">
        <f ca="1">IF(ISBLANK(Table1[[#This Row],[Exit]]),DATEDIF(Table1[[#This Row],[Hire]],TODAY(),"Y"),DATEDIF(Table1[[#This Row],[Hire]],Table1[[#This Row],[Exit]],"Y"))</f>
        <v>5</v>
      </c>
      <c r="N602" t="str" cm="1">
        <f t="array" ref="N602">_xlfn.IFS(
AND(D602&gt;=26,D602&lt;=30),"26–30",
AND(D602&gt;=31,D602&lt;=35),"31–35",
AND(D602&gt;=36,D602&lt;=40),"36–40",
AND(D602&gt;=41,D602&lt;=45),"41–45",
AND(D602&gt;=46,D602&lt;=50),"46–50",
AND(D602&gt;=51,D602&lt;=60),"51–60")</f>
        <v>41–45</v>
      </c>
    </row>
    <row r="603" spans="1:14" x14ac:dyDescent="0.35">
      <c r="A603" t="s">
        <v>488</v>
      </c>
      <c r="B603" t="s">
        <v>1193</v>
      </c>
      <c r="C603" t="s">
        <v>21</v>
      </c>
      <c r="D603">
        <v>50</v>
      </c>
      <c r="E603" t="s">
        <v>31</v>
      </c>
      <c r="F603" t="s">
        <v>16</v>
      </c>
      <c r="G603" t="s">
        <v>53</v>
      </c>
      <c r="H603" s="1">
        <v>44815</v>
      </c>
      <c r="J603">
        <v>1210000</v>
      </c>
      <c r="K603">
        <v>0.06</v>
      </c>
      <c r="L603" t="s">
        <v>24</v>
      </c>
      <c r="M603">
        <f ca="1">IF(ISBLANK(Table1[[#This Row],[Exit]]),DATEDIF(Table1[[#This Row],[Hire]],TODAY(),"Y"),DATEDIF(Table1[[#This Row],[Hire]],Table1[[#This Row],[Exit]],"Y"))</f>
        <v>3</v>
      </c>
      <c r="N603" t="str" cm="1">
        <f t="array" ref="N603">_xlfn.IFS(
AND(D603&gt;=26,D603&lt;=30),"26–30",
AND(D603&gt;=31,D603&lt;=35),"31–35",
AND(D603&gt;=36,D603&lt;=40),"36–40",
AND(D603&gt;=41,D603&lt;=45),"41–45",
AND(D603&gt;=46,D603&lt;=50),"46–50",
AND(D603&gt;=51,D603&lt;=60),"51–60")</f>
        <v>46–50</v>
      </c>
    </row>
    <row r="604" spans="1:14" x14ac:dyDescent="0.35">
      <c r="A604" t="s">
        <v>1194</v>
      </c>
      <c r="B604" t="s">
        <v>1195</v>
      </c>
      <c r="C604" t="s">
        <v>14</v>
      </c>
      <c r="D604">
        <v>36</v>
      </c>
      <c r="E604" t="s">
        <v>81</v>
      </c>
      <c r="F604" t="s">
        <v>49</v>
      </c>
      <c r="G604" t="s">
        <v>34</v>
      </c>
      <c r="H604" s="1">
        <v>44857</v>
      </c>
      <c r="J604">
        <v>1212000</v>
      </c>
      <c r="K604">
        <v>0.36</v>
      </c>
      <c r="L604" t="s">
        <v>24</v>
      </c>
      <c r="M604">
        <f ca="1">IF(ISBLANK(Table1[[#This Row],[Exit]]),DATEDIF(Table1[[#This Row],[Hire]],TODAY(),"Y"),DATEDIF(Table1[[#This Row],[Hire]],Table1[[#This Row],[Exit]],"Y"))</f>
        <v>3</v>
      </c>
      <c r="N604" t="str" cm="1">
        <f t="array" ref="N604">_xlfn.IFS(
AND(D604&gt;=26,D604&lt;=30),"26–30",
AND(D604&gt;=31,D604&lt;=35),"31–35",
AND(D604&gt;=36,D604&lt;=40),"36–40",
AND(D604&gt;=41,D604&lt;=45),"41–45",
AND(D604&gt;=46,D604&lt;=50),"46–50",
AND(D604&gt;=51,D604&lt;=60),"51–60")</f>
        <v>36–40</v>
      </c>
    </row>
    <row r="605" spans="1:14" x14ac:dyDescent="0.35">
      <c r="A605" t="s">
        <v>1196</v>
      </c>
      <c r="B605" t="s">
        <v>1197</v>
      </c>
      <c r="C605" t="s">
        <v>41</v>
      </c>
      <c r="D605">
        <v>45</v>
      </c>
      <c r="E605" t="s">
        <v>92</v>
      </c>
      <c r="F605" t="s">
        <v>59</v>
      </c>
      <c r="G605" t="s">
        <v>53</v>
      </c>
      <c r="H605" s="1">
        <v>45527</v>
      </c>
      <c r="J605">
        <v>1214000</v>
      </c>
      <c r="K605">
        <v>0.06</v>
      </c>
      <c r="L605" t="s">
        <v>24</v>
      </c>
      <c r="M605">
        <f ca="1">IF(ISBLANK(Table1[[#This Row],[Exit]]),DATEDIF(Table1[[#This Row],[Hire]],TODAY(),"Y"),DATEDIF(Table1[[#This Row],[Hire]],Table1[[#This Row],[Exit]],"Y"))</f>
        <v>1</v>
      </c>
      <c r="N605" t="str" cm="1">
        <f t="array" ref="N605">_xlfn.IFS(
AND(D605&gt;=26,D605&lt;=30),"26–30",
AND(D605&gt;=31,D605&lt;=35),"31–35",
AND(D605&gt;=36,D605&lt;=40),"36–40",
AND(D605&gt;=41,D605&lt;=45),"41–45",
AND(D605&gt;=46,D605&lt;=50),"46–50",
AND(D605&gt;=51,D605&lt;=60),"51–60")</f>
        <v>41–45</v>
      </c>
    </row>
    <row r="606" spans="1:14" x14ac:dyDescent="0.35">
      <c r="A606" t="s">
        <v>1198</v>
      </c>
      <c r="B606" t="s">
        <v>1199</v>
      </c>
      <c r="C606" t="s">
        <v>14</v>
      </c>
      <c r="D606">
        <v>29</v>
      </c>
      <c r="E606" t="s">
        <v>81</v>
      </c>
      <c r="F606" t="s">
        <v>46</v>
      </c>
      <c r="G606" t="s">
        <v>23</v>
      </c>
      <c r="H606" s="1">
        <v>45237</v>
      </c>
      <c r="I606" s="1">
        <v>45401</v>
      </c>
      <c r="J606">
        <v>1216000</v>
      </c>
      <c r="K606">
        <v>0</v>
      </c>
      <c r="L606" t="s">
        <v>18</v>
      </c>
      <c r="M606">
        <f ca="1">IF(ISBLANK(Table1[[#This Row],[Exit]]),DATEDIF(Table1[[#This Row],[Hire]],TODAY(),"Y"),DATEDIF(Table1[[#This Row],[Hire]],Table1[[#This Row],[Exit]],"Y"))</f>
        <v>0</v>
      </c>
      <c r="N606" t="str" cm="1">
        <f t="array" ref="N606">_xlfn.IFS(
AND(D606&gt;=26,D606&lt;=30),"26–30",
AND(D606&gt;=31,D606&lt;=35),"31–35",
AND(D606&gt;=36,D606&lt;=40),"36–40",
AND(D606&gt;=41,D606&lt;=45),"41–45",
AND(D606&gt;=46,D606&lt;=50),"46–50",
AND(D606&gt;=51,D606&lt;=60),"51–60")</f>
        <v>26–30</v>
      </c>
    </row>
    <row r="607" spans="1:14" x14ac:dyDescent="0.35">
      <c r="A607" t="s">
        <v>1200</v>
      </c>
      <c r="B607" t="s">
        <v>1201</v>
      </c>
      <c r="C607" t="s">
        <v>21</v>
      </c>
      <c r="D607">
        <v>41</v>
      </c>
      <c r="E607" t="s">
        <v>22</v>
      </c>
      <c r="F607" t="s">
        <v>16</v>
      </c>
      <c r="G607" t="s">
        <v>34</v>
      </c>
      <c r="H607" s="1">
        <v>45206</v>
      </c>
      <c r="J607">
        <v>1218000</v>
      </c>
      <c r="K607">
        <v>0</v>
      </c>
      <c r="L607" t="s">
        <v>24</v>
      </c>
      <c r="M607">
        <f ca="1">IF(ISBLANK(Table1[[#This Row],[Exit]]),DATEDIF(Table1[[#This Row],[Hire]],TODAY(),"Y"),DATEDIF(Table1[[#This Row],[Hire]],Table1[[#This Row],[Exit]],"Y"))</f>
        <v>2</v>
      </c>
      <c r="N607" t="str" cm="1">
        <f t="array" ref="N607">_xlfn.IFS(
AND(D607&gt;=26,D607&lt;=30),"26–30",
AND(D607&gt;=31,D607&lt;=35),"31–35",
AND(D607&gt;=36,D607&lt;=40),"36–40",
AND(D607&gt;=41,D607&lt;=45),"41–45",
AND(D607&gt;=46,D607&lt;=50),"46–50",
AND(D607&gt;=51,D607&lt;=60),"51–60")</f>
        <v>41–45</v>
      </c>
    </row>
    <row r="608" spans="1:14" x14ac:dyDescent="0.35">
      <c r="A608" t="s">
        <v>1202</v>
      </c>
      <c r="B608" t="s">
        <v>1203</v>
      </c>
      <c r="C608" t="s">
        <v>41</v>
      </c>
      <c r="D608">
        <v>47</v>
      </c>
      <c r="E608" t="s">
        <v>92</v>
      </c>
      <c r="F608" t="s">
        <v>59</v>
      </c>
      <c r="G608" t="s">
        <v>34</v>
      </c>
      <c r="H608" s="1">
        <v>44677</v>
      </c>
      <c r="J608">
        <v>1220000</v>
      </c>
      <c r="K608">
        <v>0.28000000000000003</v>
      </c>
      <c r="L608" t="s">
        <v>24</v>
      </c>
      <c r="M608">
        <f ca="1">IF(ISBLANK(Table1[[#This Row],[Exit]]),DATEDIF(Table1[[#This Row],[Hire]],TODAY(),"Y"),DATEDIF(Table1[[#This Row],[Hire]],Table1[[#This Row],[Exit]],"Y"))</f>
        <v>3</v>
      </c>
      <c r="N608" t="str" cm="1">
        <f t="array" ref="N608">_xlfn.IFS(
AND(D608&gt;=26,D608&lt;=30),"26–30",
AND(D608&gt;=31,D608&lt;=35),"31–35",
AND(D608&gt;=36,D608&lt;=40),"36–40",
AND(D608&gt;=41,D608&lt;=45),"41–45",
AND(D608&gt;=46,D608&lt;=50),"46–50",
AND(D608&gt;=51,D608&lt;=60),"51–60")</f>
        <v>46–50</v>
      </c>
    </row>
    <row r="609" spans="1:14" x14ac:dyDescent="0.35">
      <c r="A609" t="s">
        <v>1204</v>
      </c>
      <c r="B609" t="s">
        <v>1205</v>
      </c>
      <c r="C609" t="s">
        <v>14</v>
      </c>
      <c r="D609">
        <v>38</v>
      </c>
      <c r="E609" t="s">
        <v>31</v>
      </c>
      <c r="F609" t="s">
        <v>16</v>
      </c>
      <c r="G609" t="s">
        <v>17</v>
      </c>
      <c r="H609" s="1">
        <v>43889</v>
      </c>
      <c r="I609" s="1">
        <v>44815</v>
      </c>
      <c r="J609">
        <v>1222000</v>
      </c>
      <c r="K609">
        <v>0</v>
      </c>
      <c r="L609" t="s">
        <v>18</v>
      </c>
      <c r="M609">
        <f ca="1">IF(ISBLANK(Table1[[#This Row],[Exit]]),DATEDIF(Table1[[#This Row],[Hire]],TODAY(),"Y"),DATEDIF(Table1[[#This Row],[Hire]],Table1[[#This Row],[Exit]],"Y"))</f>
        <v>2</v>
      </c>
      <c r="N609" t="str" cm="1">
        <f t="array" ref="N609">_xlfn.IFS(
AND(D609&gt;=26,D609&lt;=30),"26–30",
AND(D609&gt;=31,D609&lt;=35),"31–35",
AND(D609&gt;=36,D609&lt;=40),"36–40",
AND(D609&gt;=41,D609&lt;=45),"41–45",
AND(D609&gt;=46,D609&lt;=50),"46–50",
AND(D609&gt;=51,D609&lt;=60),"51–60")</f>
        <v>36–40</v>
      </c>
    </row>
    <row r="610" spans="1:14" x14ac:dyDescent="0.35">
      <c r="A610" t="s">
        <v>1206</v>
      </c>
      <c r="B610" t="s">
        <v>1207</v>
      </c>
      <c r="C610" t="s">
        <v>21</v>
      </c>
      <c r="D610">
        <v>40</v>
      </c>
      <c r="E610" t="s">
        <v>15</v>
      </c>
      <c r="F610" t="s">
        <v>16</v>
      </c>
      <c r="G610" t="s">
        <v>17</v>
      </c>
      <c r="H610" s="1">
        <v>44116</v>
      </c>
      <c r="J610">
        <v>1224000</v>
      </c>
      <c r="K610">
        <v>0.32</v>
      </c>
      <c r="L610" t="s">
        <v>24</v>
      </c>
      <c r="M610">
        <f ca="1">IF(ISBLANK(Table1[[#This Row],[Exit]]),DATEDIF(Table1[[#This Row],[Hire]],TODAY(),"Y"),DATEDIF(Table1[[#This Row],[Hire]],Table1[[#This Row],[Exit]],"Y"))</f>
        <v>5</v>
      </c>
      <c r="N610" t="str" cm="1">
        <f t="array" ref="N610">_xlfn.IFS(
AND(D610&gt;=26,D610&lt;=30),"26–30",
AND(D610&gt;=31,D610&lt;=35),"31–35",
AND(D610&gt;=36,D610&lt;=40),"36–40",
AND(D610&gt;=41,D610&lt;=45),"41–45",
AND(D610&gt;=46,D610&lt;=50),"46–50",
AND(D610&gt;=51,D610&lt;=60),"51–60")</f>
        <v>36–40</v>
      </c>
    </row>
    <row r="611" spans="1:14" x14ac:dyDescent="0.35">
      <c r="A611" t="s">
        <v>1208</v>
      </c>
      <c r="B611" t="s">
        <v>1209</v>
      </c>
      <c r="C611" t="s">
        <v>21</v>
      </c>
      <c r="D611">
        <v>45</v>
      </c>
      <c r="E611" t="s">
        <v>22</v>
      </c>
      <c r="F611" t="s">
        <v>16</v>
      </c>
      <c r="G611" t="s">
        <v>23</v>
      </c>
      <c r="H611" s="1">
        <v>44588</v>
      </c>
      <c r="J611">
        <v>1226000</v>
      </c>
      <c r="K611">
        <v>0.13</v>
      </c>
      <c r="L611" t="s">
        <v>24</v>
      </c>
      <c r="M611">
        <f ca="1">IF(ISBLANK(Table1[[#This Row],[Exit]]),DATEDIF(Table1[[#This Row],[Hire]],TODAY(),"Y"),DATEDIF(Table1[[#This Row],[Hire]],Table1[[#This Row],[Exit]],"Y"))</f>
        <v>4</v>
      </c>
      <c r="N611" t="str" cm="1">
        <f t="array" ref="N611">_xlfn.IFS(
AND(D611&gt;=26,D611&lt;=30),"26–30",
AND(D611&gt;=31,D611&lt;=35),"31–35",
AND(D611&gt;=36,D611&lt;=40),"36–40",
AND(D611&gt;=41,D611&lt;=45),"41–45",
AND(D611&gt;=46,D611&lt;=50),"46–50",
AND(D611&gt;=51,D611&lt;=60),"51–60")</f>
        <v>41–45</v>
      </c>
    </row>
    <row r="612" spans="1:14" x14ac:dyDescent="0.35">
      <c r="A612" t="s">
        <v>1210</v>
      </c>
      <c r="B612" t="s">
        <v>1211</v>
      </c>
      <c r="C612" t="s">
        <v>21</v>
      </c>
      <c r="D612">
        <v>51</v>
      </c>
      <c r="E612" t="s">
        <v>27</v>
      </c>
      <c r="F612" t="s">
        <v>28</v>
      </c>
      <c r="G612" t="s">
        <v>17</v>
      </c>
      <c r="H612" s="1">
        <v>45337</v>
      </c>
      <c r="J612">
        <v>1228000</v>
      </c>
      <c r="K612">
        <v>7.0000000000000007E-2</v>
      </c>
      <c r="L612" t="s">
        <v>24</v>
      </c>
      <c r="M612">
        <f ca="1">IF(ISBLANK(Table1[[#This Row],[Exit]]),DATEDIF(Table1[[#This Row],[Hire]],TODAY(),"Y"),DATEDIF(Table1[[#This Row],[Hire]],Table1[[#This Row],[Exit]],"Y"))</f>
        <v>1</v>
      </c>
      <c r="N612" t="str" cm="1">
        <f t="array" ref="N612">_xlfn.IFS(
AND(D612&gt;=26,D612&lt;=30),"26–30",
AND(D612&gt;=31,D612&lt;=35),"31–35",
AND(D612&gt;=36,D612&lt;=40),"36–40",
AND(D612&gt;=41,D612&lt;=45),"41–45",
AND(D612&gt;=46,D612&lt;=50),"46–50",
AND(D612&gt;=51,D612&lt;=60),"51–60")</f>
        <v>51–60</v>
      </c>
    </row>
    <row r="613" spans="1:14" x14ac:dyDescent="0.35">
      <c r="A613" t="s">
        <v>1212</v>
      </c>
      <c r="B613" t="s">
        <v>1213</v>
      </c>
      <c r="C613" t="s">
        <v>21</v>
      </c>
      <c r="D613">
        <v>35</v>
      </c>
      <c r="E613" t="s">
        <v>31</v>
      </c>
      <c r="F613" t="s">
        <v>16</v>
      </c>
      <c r="G613" t="s">
        <v>23</v>
      </c>
      <c r="H613" s="1">
        <v>45332</v>
      </c>
      <c r="J613">
        <v>1230000</v>
      </c>
      <c r="K613">
        <v>0.37</v>
      </c>
      <c r="L613" t="s">
        <v>24</v>
      </c>
      <c r="M613">
        <f ca="1">IF(ISBLANK(Table1[[#This Row],[Exit]]),DATEDIF(Table1[[#This Row],[Hire]],TODAY(),"Y"),DATEDIF(Table1[[#This Row],[Hire]],Table1[[#This Row],[Exit]],"Y"))</f>
        <v>1</v>
      </c>
      <c r="N613" t="str" cm="1">
        <f t="array" ref="N613">_xlfn.IFS(
AND(D613&gt;=26,D613&lt;=30),"26–30",
AND(D613&gt;=31,D613&lt;=35),"31–35",
AND(D613&gt;=36,D613&lt;=40),"36–40",
AND(D613&gt;=41,D613&lt;=45),"41–45",
AND(D613&gt;=46,D613&lt;=50),"46–50",
AND(D613&gt;=51,D613&lt;=60),"51–60")</f>
        <v>31–35</v>
      </c>
    </row>
    <row r="614" spans="1:14" x14ac:dyDescent="0.35">
      <c r="A614" t="s">
        <v>1214</v>
      </c>
      <c r="B614" t="s">
        <v>1215</v>
      </c>
      <c r="C614" t="s">
        <v>14</v>
      </c>
      <c r="D614">
        <v>41</v>
      </c>
      <c r="E614" t="s">
        <v>27</v>
      </c>
      <c r="F614" t="s">
        <v>28</v>
      </c>
      <c r="G614" t="s">
        <v>34</v>
      </c>
      <c r="H614" s="1">
        <v>44183</v>
      </c>
      <c r="J614">
        <v>1232000</v>
      </c>
      <c r="K614">
        <v>0.09</v>
      </c>
      <c r="L614" t="s">
        <v>24</v>
      </c>
      <c r="M614">
        <f ca="1">IF(ISBLANK(Table1[[#This Row],[Exit]]),DATEDIF(Table1[[#This Row],[Hire]],TODAY(),"Y"),DATEDIF(Table1[[#This Row],[Hire]],Table1[[#This Row],[Exit]],"Y"))</f>
        <v>5</v>
      </c>
      <c r="N614" t="str" cm="1">
        <f t="array" ref="N614">_xlfn.IFS(
AND(D614&gt;=26,D614&lt;=30),"26–30",
AND(D614&gt;=31,D614&lt;=35),"31–35",
AND(D614&gt;=36,D614&lt;=40),"36–40",
AND(D614&gt;=41,D614&lt;=45),"41–45",
AND(D614&gt;=46,D614&lt;=50),"46–50",
AND(D614&gt;=51,D614&lt;=60),"51–60")</f>
        <v>41–45</v>
      </c>
    </row>
    <row r="615" spans="1:14" x14ac:dyDescent="0.35">
      <c r="A615" t="s">
        <v>67</v>
      </c>
      <c r="B615" t="s">
        <v>1216</v>
      </c>
      <c r="C615" t="s">
        <v>21</v>
      </c>
      <c r="D615">
        <v>35</v>
      </c>
      <c r="E615" t="s">
        <v>15</v>
      </c>
      <c r="F615" t="s">
        <v>16</v>
      </c>
      <c r="G615" t="s">
        <v>23</v>
      </c>
      <c r="H615" s="1">
        <v>43837</v>
      </c>
      <c r="J615">
        <v>1234000</v>
      </c>
      <c r="K615">
        <v>0</v>
      </c>
      <c r="L615" t="s">
        <v>24</v>
      </c>
      <c r="M615">
        <f ca="1">IF(ISBLANK(Table1[[#This Row],[Exit]]),DATEDIF(Table1[[#This Row],[Hire]],TODAY(),"Y"),DATEDIF(Table1[[#This Row],[Hire]],Table1[[#This Row],[Exit]],"Y"))</f>
        <v>6</v>
      </c>
      <c r="N615" t="str" cm="1">
        <f t="array" ref="N615">_xlfn.IFS(
AND(D615&gt;=26,D615&lt;=30),"26–30",
AND(D615&gt;=31,D615&lt;=35),"31–35",
AND(D615&gt;=36,D615&lt;=40),"36–40",
AND(D615&gt;=41,D615&lt;=45),"41–45",
AND(D615&gt;=46,D615&lt;=50),"46–50",
AND(D615&gt;=51,D615&lt;=60),"51–60")</f>
        <v>31–35</v>
      </c>
    </row>
    <row r="616" spans="1:14" x14ac:dyDescent="0.35">
      <c r="A616" t="s">
        <v>1217</v>
      </c>
      <c r="B616" t="s">
        <v>1218</v>
      </c>
      <c r="C616" t="s">
        <v>14</v>
      </c>
      <c r="D616">
        <v>41</v>
      </c>
      <c r="E616" t="s">
        <v>15</v>
      </c>
      <c r="F616" t="s">
        <v>16</v>
      </c>
      <c r="G616" t="s">
        <v>34</v>
      </c>
      <c r="H616" s="1">
        <v>45206</v>
      </c>
      <c r="J616">
        <v>1236000</v>
      </c>
      <c r="K616">
        <v>0</v>
      </c>
      <c r="L616" t="s">
        <v>24</v>
      </c>
      <c r="M616">
        <f ca="1">IF(ISBLANK(Table1[[#This Row],[Exit]]),DATEDIF(Table1[[#This Row],[Hire]],TODAY(),"Y"),DATEDIF(Table1[[#This Row],[Hire]],Table1[[#This Row],[Exit]],"Y"))</f>
        <v>2</v>
      </c>
      <c r="N616" t="str" cm="1">
        <f t="array" ref="N616">_xlfn.IFS(
AND(D616&gt;=26,D616&lt;=30),"26–30",
AND(D616&gt;=31,D616&lt;=35),"31–35",
AND(D616&gt;=36,D616&lt;=40),"36–40",
AND(D616&gt;=41,D616&lt;=45),"41–45",
AND(D616&gt;=46,D616&lt;=50),"46–50",
AND(D616&gt;=51,D616&lt;=60),"51–60")</f>
        <v>41–45</v>
      </c>
    </row>
    <row r="617" spans="1:14" x14ac:dyDescent="0.35">
      <c r="A617" t="s">
        <v>1219</v>
      </c>
      <c r="B617" t="s">
        <v>1220</v>
      </c>
      <c r="C617" t="s">
        <v>14</v>
      </c>
      <c r="D617">
        <v>41</v>
      </c>
      <c r="E617" t="s">
        <v>42</v>
      </c>
      <c r="F617" t="s">
        <v>43</v>
      </c>
      <c r="G617" t="s">
        <v>34</v>
      </c>
      <c r="H617" s="1">
        <v>44487</v>
      </c>
      <c r="J617">
        <v>1238000</v>
      </c>
      <c r="K617">
        <v>0.16</v>
      </c>
      <c r="L617" t="s">
        <v>24</v>
      </c>
      <c r="M617">
        <f ca="1">IF(ISBLANK(Table1[[#This Row],[Exit]]),DATEDIF(Table1[[#This Row],[Hire]],TODAY(),"Y"),DATEDIF(Table1[[#This Row],[Hire]],Table1[[#This Row],[Exit]],"Y"))</f>
        <v>4</v>
      </c>
      <c r="N617" t="str" cm="1">
        <f t="array" ref="N617">_xlfn.IFS(
AND(D617&gt;=26,D617&lt;=30),"26–30",
AND(D617&gt;=31,D617&lt;=35),"31–35",
AND(D617&gt;=36,D617&lt;=40),"36–40",
AND(D617&gt;=41,D617&lt;=45),"41–45",
AND(D617&gt;=46,D617&lt;=50),"46–50",
AND(D617&gt;=51,D617&lt;=60),"51–60")</f>
        <v>41–45</v>
      </c>
    </row>
    <row r="618" spans="1:14" x14ac:dyDescent="0.35">
      <c r="A618" t="s">
        <v>1221</v>
      </c>
      <c r="B618" t="s">
        <v>1222</v>
      </c>
      <c r="C618" t="s">
        <v>14</v>
      </c>
      <c r="D618">
        <v>41</v>
      </c>
      <c r="E618" t="s">
        <v>42</v>
      </c>
      <c r="F618" t="s">
        <v>46</v>
      </c>
      <c r="G618" t="s">
        <v>23</v>
      </c>
      <c r="H618" s="1">
        <v>44791</v>
      </c>
      <c r="J618">
        <v>1240000</v>
      </c>
      <c r="K618">
        <v>0</v>
      </c>
      <c r="L618" t="s">
        <v>24</v>
      </c>
      <c r="M618">
        <f ca="1">IF(ISBLANK(Table1[[#This Row],[Exit]]),DATEDIF(Table1[[#This Row],[Hire]],TODAY(),"Y"),DATEDIF(Table1[[#This Row],[Hire]],Table1[[#This Row],[Exit]],"Y"))</f>
        <v>3</v>
      </c>
      <c r="N618" t="str" cm="1">
        <f t="array" ref="N618">_xlfn.IFS(
AND(D618&gt;=26,D618&lt;=30),"26–30",
AND(D618&gt;=31,D618&lt;=35),"31–35",
AND(D618&gt;=36,D618&lt;=40),"36–40",
AND(D618&gt;=41,D618&lt;=45),"41–45",
AND(D618&gt;=46,D618&lt;=50),"46–50",
AND(D618&gt;=51,D618&lt;=60),"51–60")</f>
        <v>41–45</v>
      </c>
    </row>
    <row r="619" spans="1:14" x14ac:dyDescent="0.35">
      <c r="A619" t="s">
        <v>1223</v>
      </c>
      <c r="B619" t="s">
        <v>1224</v>
      </c>
      <c r="C619" t="s">
        <v>355</v>
      </c>
      <c r="D619">
        <v>46</v>
      </c>
      <c r="E619" t="s">
        <v>42</v>
      </c>
      <c r="F619" t="s">
        <v>49</v>
      </c>
      <c r="G619" t="s">
        <v>17</v>
      </c>
      <c r="H619" s="1">
        <v>45440</v>
      </c>
      <c r="J619">
        <v>1242000</v>
      </c>
      <c r="K619">
        <v>0</v>
      </c>
      <c r="L619" t="s">
        <v>24</v>
      </c>
      <c r="M619">
        <f ca="1">IF(ISBLANK(Table1[[#This Row],[Exit]]),DATEDIF(Table1[[#This Row],[Hire]],TODAY(),"Y"),DATEDIF(Table1[[#This Row],[Hire]],Table1[[#This Row],[Exit]],"Y"))</f>
        <v>1</v>
      </c>
      <c r="N619" t="str" cm="1">
        <f t="array" ref="N619">_xlfn.IFS(
AND(D619&gt;=26,D619&lt;=30),"26–30",
AND(D619&gt;=31,D619&lt;=35),"31–35",
AND(D619&gt;=36,D619&lt;=40),"36–40",
AND(D619&gt;=41,D619&lt;=45),"41–45",
AND(D619&gt;=46,D619&lt;=50),"46–50",
AND(D619&gt;=51,D619&lt;=60),"51–60")</f>
        <v>46–50</v>
      </c>
    </row>
    <row r="620" spans="1:14" x14ac:dyDescent="0.35">
      <c r="A620" t="s">
        <v>1225</v>
      </c>
      <c r="B620" t="s">
        <v>1226</v>
      </c>
      <c r="C620" t="s">
        <v>14</v>
      </c>
      <c r="D620">
        <v>36</v>
      </c>
      <c r="E620" t="s">
        <v>52</v>
      </c>
      <c r="F620" t="s">
        <v>16</v>
      </c>
      <c r="G620" t="s">
        <v>53</v>
      </c>
      <c r="H620" s="1">
        <v>44811</v>
      </c>
      <c r="J620">
        <v>1244000</v>
      </c>
      <c r="K620">
        <v>0.11</v>
      </c>
      <c r="L620" t="s">
        <v>24</v>
      </c>
      <c r="M620">
        <f ca="1">IF(ISBLANK(Table1[[#This Row],[Exit]]),DATEDIF(Table1[[#This Row],[Hire]],TODAY(),"Y"),DATEDIF(Table1[[#This Row],[Hire]],Table1[[#This Row],[Exit]],"Y"))</f>
        <v>3</v>
      </c>
      <c r="N620" t="str" cm="1">
        <f t="array" ref="N620">_xlfn.IFS(
AND(D620&gt;=26,D620&lt;=30),"26–30",
AND(D620&gt;=31,D620&lt;=35),"31–35",
AND(D620&gt;=36,D620&lt;=40),"36–40",
AND(D620&gt;=41,D620&lt;=45),"41–45",
AND(D620&gt;=46,D620&lt;=50),"46–50",
AND(D620&gt;=51,D620&lt;=60),"51–60")</f>
        <v>36–40</v>
      </c>
    </row>
    <row r="621" spans="1:14" x14ac:dyDescent="0.35">
      <c r="A621" t="s">
        <v>1227</v>
      </c>
      <c r="B621" t="s">
        <v>1228</v>
      </c>
      <c r="C621" t="s">
        <v>21</v>
      </c>
      <c r="D621">
        <v>45</v>
      </c>
      <c r="E621" t="s">
        <v>42</v>
      </c>
      <c r="F621" t="s">
        <v>46</v>
      </c>
      <c r="G621" t="s">
        <v>53</v>
      </c>
      <c r="H621" s="1">
        <v>45294</v>
      </c>
      <c r="J621">
        <v>1246000</v>
      </c>
      <c r="K621">
        <v>0</v>
      </c>
      <c r="L621" t="s">
        <v>24</v>
      </c>
      <c r="M621">
        <f ca="1">IF(ISBLANK(Table1[[#This Row],[Exit]]),DATEDIF(Table1[[#This Row],[Hire]],TODAY(),"Y"),DATEDIF(Table1[[#This Row],[Hire]],Table1[[#This Row],[Exit]],"Y"))</f>
        <v>2</v>
      </c>
      <c r="N621" t="str" cm="1">
        <f t="array" ref="N621">_xlfn.IFS(
AND(D621&gt;=26,D621&lt;=30),"26–30",
AND(D621&gt;=31,D621&lt;=35),"31–35",
AND(D621&gt;=36,D621&lt;=40),"36–40",
AND(D621&gt;=41,D621&lt;=45),"41–45",
AND(D621&gt;=46,D621&lt;=50),"46–50",
AND(D621&gt;=51,D621&lt;=60),"51–60")</f>
        <v>41–45</v>
      </c>
    </row>
    <row r="622" spans="1:14" x14ac:dyDescent="0.35">
      <c r="A622" t="s">
        <v>1229</v>
      </c>
      <c r="B622" t="s">
        <v>1230</v>
      </c>
      <c r="C622" t="s">
        <v>14</v>
      </c>
      <c r="D622">
        <v>37</v>
      </c>
      <c r="E622" t="s">
        <v>58</v>
      </c>
      <c r="F622" t="s">
        <v>59</v>
      </c>
      <c r="G622" t="s">
        <v>34</v>
      </c>
      <c r="H622" s="1">
        <v>45074</v>
      </c>
      <c r="I622" s="1">
        <v>45337</v>
      </c>
      <c r="J622">
        <v>1248000</v>
      </c>
      <c r="K622">
        <v>0</v>
      </c>
      <c r="L622" t="s">
        <v>18</v>
      </c>
      <c r="M622">
        <f ca="1">IF(ISBLANK(Table1[[#This Row],[Exit]]),DATEDIF(Table1[[#This Row],[Hire]],TODAY(),"Y"),DATEDIF(Table1[[#This Row],[Hire]],Table1[[#This Row],[Exit]],"Y"))</f>
        <v>0</v>
      </c>
      <c r="N622" t="str" cm="1">
        <f t="array" ref="N622">_xlfn.IFS(
AND(D622&gt;=26,D622&lt;=30),"26–30",
AND(D622&gt;=31,D622&lt;=35),"31–35",
AND(D622&gt;=36,D622&lt;=40),"36–40",
AND(D622&gt;=41,D622&lt;=45),"41–45",
AND(D622&gt;=46,D622&lt;=50),"46–50",
AND(D622&gt;=51,D622&lt;=60),"51–60")</f>
        <v>36–40</v>
      </c>
    </row>
    <row r="623" spans="1:14" x14ac:dyDescent="0.35">
      <c r="A623" t="s">
        <v>1231</v>
      </c>
      <c r="B623" t="s">
        <v>1232</v>
      </c>
      <c r="C623" t="s">
        <v>21</v>
      </c>
      <c r="D623">
        <v>38</v>
      </c>
      <c r="E623" t="s">
        <v>52</v>
      </c>
      <c r="F623" t="s">
        <v>16</v>
      </c>
      <c r="G623" t="s">
        <v>23</v>
      </c>
      <c r="H623" s="1">
        <v>45245</v>
      </c>
      <c r="I623" s="1">
        <v>45294</v>
      </c>
      <c r="J623">
        <v>1250000</v>
      </c>
      <c r="K623">
        <v>0</v>
      </c>
      <c r="L623" t="s">
        <v>18</v>
      </c>
      <c r="M623">
        <f ca="1">IF(ISBLANK(Table1[[#This Row],[Exit]]),DATEDIF(Table1[[#This Row],[Hire]],TODAY(),"Y"),DATEDIF(Table1[[#This Row],[Hire]],Table1[[#This Row],[Exit]],"Y"))</f>
        <v>0</v>
      </c>
      <c r="N623" t="str" cm="1">
        <f t="array" ref="N623">_xlfn.IFS(
AND(D623&gt;=26,D623&lt;=30),"26–30",
AND(D623&gt;=31,D623&lt;=35),"31–35",
AND(D623&gt;=36,D623&lt;=40),"36–40",
AND(D623&gt;=41,D623&lt;=45),"41–45",
AND(D623&gt;=46,D623&lt;=50),"46–50",
AND(D623&gt;=51,D623&lt;=60),"51–60")</f>
        <v>36–40</v>
      </c>
    </row>
    <row r="624" spans="1:14" x14ac:dyDescent="0.35">
      <c r="A624" t="s">
        <v>1233</v>
      </c>
      <c r="B624" t="s">
        <v>1234</v>
      </c>
      <c r="C624" t="s">
        <v>14</v>
      </c>
      <c r="D624">
        <v>45</v>
      </c>
      <c r="E624" t="s">
        <v>52</v>
      </c>
      <c r="F624" t="s">
        <v>16</v>
      </c>
      <c r="G624" t="s">
        <v>34</v>
      </c>
      <c r="H624" s="1">
        <v>43851</v>
      </c>
      <c r="I624" s="1">
        <v>45206</v>
      </c>
      <c r="J624">
        <v>1252000</v>
      </c>
      <c r="K624">
        <v>0.32</v>
      </c>
      <c r="L624" t="s">
        <v>18</v>
      </c>
      <c r="M624">
        <f ca="1">IF(ISBLANK(Table1[[#This Row],[Exit]]),DATEDIF(Table1[[#This Row],[Hire]],TODAY(),"Y"),DATEDIF(Table1[[#This Row],[Hire]],Table1[[#This Row],[Exit]],"Y"))</f>
        <v>3</v>
      </c>
      <c r="N624" t="str" cm="1">
        <f t="array" ref="N624">_xlfn.IFS(
AND(D624&gt;=26,D624&lt;=30),"26–30",
AND(D624&gt;=31,D624&lt;=35),"31–35",
AND(D624&gt;=36,D624&lt;=40),"36–40",
AND(D624&gt;=41,D624&lt;=45),"41–45",
AND(D624&gt;=46,D624&lt;=50),"46–50",
AND(D624&gt;=51,D624&lt;=60),"51–60")</f>
        <v>41–45</v>
      </c>
    </row>
    <row r="625" spans="1:14" x14ac:dyDescent="0.35">
      <c r="A625" t="s">
        <v>1235</v>
      </c>
      <c r="B625" t="s">
        <v>1236</v>
      </c>
      <c r="C625" t="s">
        <v>21</v>
      </c>
      <c r="D625">
        <v>51</v>
      </c>
      <c r="E625" t="s">
        <v>66</v>
      </c>
      <c r="F625" t="s">
        <v>16</v>
      </c>
      <c r="G625" t="s">
        <v>17</v>
      </c>
      <c r="H625" s="1">
        <v>45206</v>
      </c>
      <c r="J625">
        <v>1254000</v>
      </c>
      <c r="K625">
        <v>0.09</v>
      </c>
      <c r="L625" t="s">
        <v>24</v>
      </c>
      <c r="M625">
        <f ca="1">IF(ISBLANK(Table1[[#This Row],[Exit]]),DATEDIF(Table1[[#This Row],[Hire]],TODAY(),"Y"),DATEDIF(Table1[[#This Row],[Hire]],Table1[[#This Row],[Exit]],"Y"))</f>
        <v>2</v>
      </c>
      <c r="N625" t="str" cm="1">
        <f t="array" ref="N625">_xlfn.IFS(
AND(D625&gt;=26,D625&lt;=30),"26–30",
AND(D625&gt;=31,D625&lt;=35),"31–35",
AND(D625&gt;=36,D625&lt;=40),"36–40",
AND(D625&gt;=41,D625&lt;=45),"41–45",
AND(D625&gt;=46,D625&lt;=50),"46–50",
AND(D625&gt;=51,D625&lt;=60),"51–60")</f>
        <v>51–60</v>
      </c>
    </row>
    <row r="626" spans="1:14" x14ac:dyDescent="0.35">
      <c r="A626" t="s">
        <v>69</v>
      </c>
      <c r="B626" t="s">
        <v>1237</v>
      </c>
      <c r="C626" t="s">
        <v>21</v>
      </c>
      <c r="D626">
        <v>56</v>
      </c>
      <c r="E626" t="s">
        <v>58</v>
      </c>
      <c r="F626" t="s">
        <v>59</v>
      </c>
      <c r="G626" t="s">
        <v>23</v>
      </c>
      <c r="H626" s="1">
        <v>45401</v>
      </c>
      <c r="J626">
        <v>1256000</v>
      </c>
      <c r="K626">
        <v>0</v>
      </c>
      <c r="L626" t="s">
        <v>24</v>
      </c>
      <c r="M626">
        <f ca="1">IF(ISBLANK(Table1[[#This Row],[Exit]]),DATEDIF(Table1[[#This Row],[Hire]],TODAY(),"Y"),DATEDIF(Table1[[#This Row],[Hire]],Table1[[#This Row],[Exit]],"Y"))</f>
        <v>1</v>
      </c>
      <c r="N626" t="str" cm="1">
        <f t="array" ref="N626">_xlfn.IFS(
AND(D626&gt;=26,D626&lt;=30),"26–30",
AND(D626&gt;=31,D626&lt;=35),"31–35",
AND(D626&gt;=36,D626&lt;=40),"36–40",
AND(D626&gt;=41,D626&lt;=45),"41–45",
AND(D626&gt;=46,D626&lt;=50),"46–50",
AND(D626&gt;=51,D626&lt;=60),"51–60")</f>
        <v>51–60</v>
      </c>
    </row>
    <row r="627" spans="1:14" x14ac:dyDescent="0.35">
      <c r="A627" t="s">
        <v>260</v>
      </c>
      <c r="B627" t="s">
        <v>1238</v>
      </c>
      <c r="C627" t="s">
        <v>41</v>
      </c>
      <c r="D627">
        <v>53</v>
      </c>
      <c r="E627" t="s">
        <v>66</v>
      </c>
      <c r="F627" t="s">
        <v>16</v>
      </c>
      <c r="G627" t="s">
        <v>34</v>
      </c>
      <c r="H627" s="1">
        <v>44083</v>
      </c>
      <c r="J627">
        <v>1258000</v>
      </c>
      <c r="K627">
        <v>0.28000000000000003</v>
      </c>
      <c r="L627" t="s">
        <v>24</v>
      </c>
      <c r="M627">
        <f ca="1">IF(ISBLANK(Table1[[#This Row],[Exit]]),DATEDIF(Table1[[#This Row],[Hire]],TODAY(),"Y"),DATEDIF(Table1[[#This Row],[Hire]],Table1[[#This Row],[Exit]],"Y"))</f>
        <v>5</v>
      </c>
      <c r="N627" t="str" cm="1">
        <f t="array" ref="N627">_xlfn.IFS(
AND(D627&gt;=26,D627&lt;=30),"26–30",
AND(D627&gt;=31,D627&lt;=35),"31–35",
AND(D627&gt;=36,D627&lt;=40),"36–40",
AND(D627&gt;=41,D627&lt;=45),"41–45",
AND(D627&gt;=46,D627&lt;=50),"46–50",
AND(D627&gt;=51,D627&lt;=60),"51–60")</f>
        <v>51–60</v>
      </c>
    </row>
    <row r="628" spans="1:14" x14ac:dyDescent="0.35">
      <c r="A628" t="s">
        <v>1239</v>
      </c>
      <c r="B628" t="s">
        <v>1240</v>
      </c>
      <c r="C628" t="s">
        <v>14</v>
      </c>
      <c r="D628">
        <v>47</v>
      </c>
      <c r="E628" t="s">
        <v>66</v>
      </c>
      <c r="F628" t="s">
        <v>16</v>
      </c>
      <c r="G628" t="s">
        <v>53</v>
      </c>
      <c r="H628" s="1">
        <v>45233</v>
      </c>
      <c r="J628">
        <v>1260000</v>
      </c>
      <c r="K628">
        <v>0</v>
      </c>
      <c r="L628" t="s">
        <v>24</v>
      </c>
      <c r="M628">
        <f ca="1">IF(ISBLANK(Table1[[#This Row],[Exit]]),DATEDIF(Table1[[#This Row],[Hire]],TODAY(),"Y"),DATEDIF(Table1[[#This Row],[Hire]],Table1[[#This Row],[Exit]],"Y"))</f>
        <v>2</v>
      </c>
      <c r="N628" t="str" cm="1">
        <f t="array" ref="N628">_xlfn.IFS(
AND(D628&gt;=26,D628&lt;=30),"26–30",
AND(D628&gt;=31,D628&lt;=35),"31–35",
AND(D628&gt;=36,D628&lt;=40),"36–40",
AND(D628&gt;=41,D628&lt;=45),"41–45",
AND(D628&gt;=46,D628&lt;=50),"46–50",
AND(D628&gt;=51,D628&lt;=60),"51–60")</f>
        <v>46–50</v>
      </c>
    </row>
    <row r="629" spans="1:14" x14ac:dyDescent="0.35">
      <c r="A629" t="s">
        <v>1241</v>
      </c>
      <c r="B629" t="s">
        <v>1242</v>
      </c>
      <c r="C629" t="s">
        <v>41</v>
      </c>
      <c r="D629">
        <v>36</v>
      </c>
      <c r="E629" t="s">
        <v>58</v>
      </c>
      <c r="F629" t="s">
        <v>59</v>
      </c>
      <c r="G629" t="s">
        <v>53</v>
      </c>
      <c r="H629" s="1">
        <v>45412</v>
      </c>
      <c r="J629">
        <v>1262000</v>
      </c>
      <c r="K629">
        <v>0.33</v>
      </c>
      <c r="L629" t="s">
        <v>24</v>
      </c>
      <c r="M629">
        <f ca="1">IF(ISBLANK(Table1[[#This Row],[Exit]]),DATEDIF(Table1[[#This Row],[Hire]],TODAY(),"Y"),DATEDIF(Table1[[#This Row],[Hire]],Table1[[#This Row],[Exit]],"Y"))</f>
        <v>1</v>
      </c>
      <c r="N629" t="str" cm="1">
        <f t="array" ref="N629">_xlfn.IFS(
AND(D629&gt;=26,D629&lt;=30),"26–30",
AND(D629&gt;=31,D629&lt;=35),"31–35",
AND(D629&gt;=36,D629&lt;=40),"36–40",
AND(D629&gt;=41,D629&lt;=45),"41–45",
AND(D629&gt;=46,D629&lt;=50),"46–50",
AND(D629&gt;=51,D629&lt;=60),"51–60")</f>
        <v>36–40</v>
      </c>
    </row>
    <row r="630" spans="1:14" x14ac:dyDescent="0.35">
      <c r="A630" t="s">
        <v>1243</v>
      </c>
      <c r="B630" t="s">
        <v>1244</v>
      </c>
      <c r="C630" t="s">
        <v>14</v>
      </c>
      <c r="D630">
        <v>41</v>
      </c>
      <c r="E630" t="s">
        <v>15</v>
      </c>
      <c r="F630" t="s">
        <v>16</v>
      </c>
      <c r="G630" t="s">
        <v>53</v>
      </c>
      <c r="H630" s="1">
        <v>43887</v>
      </c>
      <c r="J630">
        <v>1264000</v>
      </c>
      <c r="K630">
        <v>0</v>
      </c>
      <c r="L630" t="s">
        <v>24</v>
      </c>
      <c r="M630">
        <f ca="1">IF(ISBLANK(Table1[[#This Row],[Exit]]),DATEDIF(Table1[[#This Row],[Hire]],TODAY(),"Y"),DATEDIF(Table1[[#This Row],[Hire]],Table1[[#This Row],[Exit]],"Y"))</f>
        <v>5</v>
      </c>
      <c r="N630" t="str" cm="1">
        <f t="array" ref="N630">_xlfn.IFS(
AND(D630&gt;=26,D630&lt;=30),"26–30",
AND(D630&gt;=31,D630&lt;=35),"31–35",
AND(D630&gt;=36,D630&lt;=40),"36–40",
AND(D630&gt;=41,D630&lt;=45),"41–45",
AND(D630&gt;=46,D630&lt;=50),"46–50",
AND(D630&gt;=51,D630&lt;=60),"51–60")</f>
        <v>41–45</v>
      </c>
    </row>
    <row r="631" spans="1:14" x14ac:dyDescent="0.35">
      <c r="A631" t="s">
        <v>1245</v>
      </c>
      <c r="B631" t="s">
        <v>1246</v>
      </c>
      <c r="C631" t="s">
        <v>21</v>
      </c>
      <c r="D631">
        <v>30</v>
      </c>
      <c r="E631" t="s">
        <v>22</v>
      </c>
      <c r="F631" t="s">
        <v>16</v>
      </c>
      <c r="G631" t="s">
        <v>53</v>
      </c>
      <c r="H631" s="1">
        <v>44815</v>
      </c>
      <c r="I631" s="1">
        <v>45074</v>
      </c>
      <c r="J631">
        <v>1266000</v>
      </c>
      <c r="K631">
        <v>0.08</v>
      </c>
      <c r="L631" t="s">
        <v>18</v>
      </c>
      <c r="M631">
        <f ca="1">IF(ISBLANK(Table1[[#This Row],[Exit]]),DATEDIF(Table1[[#This Row],[Hire]],TODAY(),"Y"),DATEDIF(Table1[[#This Row],[Hire]],Table1[[#This Row],[Exit]],"Y"))</f>
        <v>0</v>
      </c>
      <c r="N631" t="str" cm="1">
        <f t="array" ref="N631">_xlfn.IFS(
AND(D631&gt;=26,D631&lt;=30),"26–30",
AND(D631&gt;=31,D631&lt;=35),"31–35",
AND(D631&gt;=36,D631&lt;=40),"36–40",
AND(D631&gt;=41,D631&lt;=45),"41–45",
AND(D631&gt;=46,D631&lt;=50),"46–50",
AND(D631&gt;=51,D631&lt;=60),"51–60")</f>
        <v>26–30</v>
      </c>
    </row>
    <row r="632" spans="1:14" x14ac:dyDescent="0.35">
      <c r="A632" t="s">
        <v>1247</v>
      </c>
      <c r="B632" t="s">
        <v>1248</v>
      </c>
      <c r="C632" t="s">
        <v>21</v>
      </c>
      <c r="D632">
        <v>30</v>
      </c>
      <c r="E632" t="s">
        <v>81</v>
      </c>
      <c r="F632" t="s">
        <v>43</v>
      </c>
      <c r="G632" t="s">
        <v>53</v>
      </c>
      <c r="H632" s="1">
        <v>45064</v>
      </c>
      <c r="I632" s="1">
        <v>45401</v>
      </c>
      <c r="J632">
        <v>1268000</v>
      </c>
      <c r="K632">
        <v>0.28000000000000003</v>
      </c>
      <c r="L632" t="s">
        <v>18</v>
      </c>
      <c r="M632">
        <f ca="1">IF(ISBLANK(Table1[[#This Row],[Exit]]),DATEDIF(Table1[[#This Row],[Hire]],TODAY(),"Y"),DATEDIF(Table1[[#This Row],[Hire]],Table1[[#This Row],[Exit]],"Y"))</f>
        <v>0</v>
      </c>
      <c r="N632" t="str" cm="1">
        <f t="array" ref="N632">_xlfn.IFS(
AND(D632&gt;=26,D632&lt;=30),"26–30",
AND(D632&gt;=31,D632&lt;=35),"31–35",
AND(D632&gt;=36,D632&lt;=40),"36–40",
AND(D632&gt;=41,D632&lt;=45),"41–45",
AND(D632&gt;=46,D632&lt;=50),"46–50",
AND(D632&gt;=51,D632&lt;=60),"51–60")</f>
        <v>26–30</v>
      </c>
    </row>
    <row r="633" spans="1:14" x14ac:dyDescent="0.35">
      <c r="A633" t="s">
        <v>1249</v>
      </c>
      <c r="B633" t="s">
        <v>1250</v>
      </c>
      <c r="C633" t="s">
        <v>21</v>
      </c>
      <c r="D633">
        <v>38</v>
      </c>
      <c r="E633" t="s">
        <v>52</v>
      </c>
      <c r="F633" t="s">
        <v>16</v>
      </c>
      <c r="G633" t="s">
        <v>17</v>
      </c>
      <c r="H633" s="1">
        <v>44509</v>
      </c>
      <c r="J633">
        <v>1270000</v>
      </c>
      <c r="K633">
        <v>0.12</v>
      </c>
      <c r="L633" t="s">
        <v>24</v>
      </c>
      <c r="M633">
        <f ca="1">IF(ISBLANK(Table1[[#This Row],[Exit]]),DATEDIF(Table1[[#This Row],[Hire]],TODAY(),"Y"),DATEDIF(Table1[[#This Row],[Hire]],Table1[[#This Row],[Exit]],"Y"))</f>
        <v>4</v>
      </c>
      <c r="N633" t="str" cm="1">
        <f t="array" ref="N633">_xlfn.IFS(
AND(D633&gt;=26,D633&lt;=30),"26–30",
AND(D633&gt;=31,D633&lt;=35),"31–35",
AND(D633&gt;=36,D633&lt;=40),"36–40",
AND(D633&gt;=41,D633&lt;=45),"41–45",
AND(D633&gt;=46,D633&lt;=50),"46–50",
AND(D633&gt;=51,D633&lt;=60),"51–60")</f>
        <v>36–40</v>
      </c>
    </row>
    <row r="634" spans="1:14" x14ac:dyDescent="0.35">
      <c r="A634" t="s">
        <v>1251</v>
      </c>
      <c r="B634" t="s">
        <v>1252</v>
      </c>
      <c r="C634" t="s">
        <v>21</v>
      </c>
      <c r="D634">
        <v>51</v>
      </c>
      <c r="E634" t="s">
        <v>66</v>
      </c>
      <c r="F634" t="s">
        <v>16</v>
      </c>
      <c r="G634" t="s">
        <v>23</v>
      </c>
      <c r="H634" s="1">
        <v>43963</v>
      </c>
      <c r="J634">
        <v>1272000</v>
      </c>
      <c r="K634">
        <v>0.28000000000000003</v>
      </c>
      <c r="L634" t="s">
        <v>24</v>
      </c>
      <c r="M634">
        <f ca="1">IF(ISBLANK(Table1[[#This Row],[Exit]]),DATEDIF(Table1[[#This Row],[Hire]],TODAY(),"Y"),DATEDIF(Table1[[#This Row],[Hire]],Table1[[#This Row],[Exit]],"Y"))</f>
        <v>5</v>
      </c>
      <c r="N634" t="str" cm="1">
        <f t="array" ref="N634">_xlfn.IFS(
AND(D634&gt;=26,D634&lt;=30),"26–30",
AND(D634&gt;=31,D634&lt;=35),"31–35",
AND(D634&gt;=36,D634&lt;=40),"36–40",
AND(D634&gt;=41,D634&lt;=45),"41–45",
AND(D634&gt;=46,D634&lt;=50),"46–50",
AND(D634&gt;=51,D634&lt;=60),"51–60")</f>
        <v>51–60</v>
      </c>
    </row>
    <row r="635" spans="1:14" x14ac:dyDescent="0.35">
      <c r="A635" t="s">
        <v>1253</v>
      </c>
      <c r="B635" t="s">
        <v>1254</v>
      </c>
      <c r="C635" t="s">
        <v>21</v>
      </c>
      <c r="D635">
        <v>39</v>
      </c>
      <c r="E635" t="s">
        <v>31</v>
      </c>
      <c r="F635" t="s">
        <v>16</v>
      </c>
      <c r="G635" t="s">
        <v>53</v>
      </c>
      <c r="H635" s="1">
        <v>44815</v>
      </c>
      <c r="J635">
        <v>1274000</v>
      </c>
      <c r="K635">
        <v>0.39</v>
      </c>
      <c r="L635" t="s">
        <v>24</v>
      </c>
      <c r="M635">
        <f ca="1">IF(ISBLANK(Table1[[#This Row],[Exit]]),DATEDIF(Table1[[#This Row],[Hire]],TODAY(),"Y"),DATEDIF(Table1[[#This Row],[Hire]],Table1[[#This Row],[Exit]],"Y"))</f>
        <v>3</v>
      </c>
      <c r="N635" t="str" cm="1">
        <f t="array" ref="N635">_xlfn.IFS(
AND(D635&gt;=26,D635&lt;=30),"26–30",
AND(D635&gt;=31,D635&lt;=35),"31–35",
AND(D635&gt;=36,D635&lt;=40),"36–40",
AND(D635&gt;=41,D635&lt;=45),"41–45",
AND(D635&gt;=46,D635&lt;=50),"46–50",
AND(D635&gt;=51,D635&lt;=60),"51–60")</f>
        <v>36–40</v>
      </c>
    </row>
    <row r="636" spans="1:14" x14ac:dyDescent="0.35">
      <c r="A636" t="s">
        <v>1255</v>
      </c>
      <c r="B636" t="s">
        <v>1256</v>
      </c>
      <c r="C636" t="s">
        <v>21</v>
      </c>
      <c r="D636">
        <v>31</v>
      </c>
      <c r="E636" t="s">
        <v>81</v>
      </c>
      <c r="F636" t="s">
        <v>49</v>
      </c>
      <c r="G636" t="s">
        <v>34</v>
      </c>
      <c r="H636" s="1">
        <v>44857</v>
      </c>
      <c r="I636" s="1">
        <v>45412</v>
      </c>
      <c r="J636">
        <v>1276000</v>
      </c>
      <c r="K636">
        <v>0</v>
      </c>
      <c r="L636" t="s">
        <v>18</v>
      </c>
      <c r="M636">
        <f ca="1">IF(ISBLANK(Table1[[#This Row],[Exit]]),DATEDIF(Table1[[#This Row],[Hire]],TODAY(),"Y"),DATEDIF(Table1[[#This Row],[Hire]],Table1[[#This Row],[Exit]],"Y"))</f>
        <v>1</v>
      </c>
      <c r="N636" t="str" cm="1">
        <f t="array" ref="N636">_xlfn.IFS(
AND(D636&gt;=26,D636&lt;=30),"26–30",
AND(D636&gt;=31,D636&lt;=35),"31–35",
AND(D636&gt;=36,D636&lt;=40),"36–40",
AND(D636&gt;=41,D636&lt;=45),"41–45",
AND(D636&gt;=46,D636&lt;=50),"46–50",
AND(D636&gt;=51,D636&lt;=60),"51–60")</f>
        <v>31–35</v>
      </c>
    </row>
    <row r="637" spans="1:14" x14ac:dyDescent="0.35">
      <c r="A637" t="s">
        <v>1257</v>
      </c>
      <c r="B637" t="s">
        <v>1258</v>
      </c>
      <c r="C637" t="s">
        <v>14</v>
      </c>
      <c r="D637">
        <v>45</v>
      </c>
      <c r="E637" t="s">
        <v>92</v>
      </c>
      <c r="F637" t="s">
        <v>59</v>
      </c>
      <c r="G637" t="s">
        <v>53</v>
      </c>
      <c r="H637" s="1">
        <v>45527</v>
      </c>
      <c r="J637">
        <v>1278000</v>
      </c>
      <c r="K637">
        <v>0</v>
      </c>
      <c r="L637" t="s">
        <v>24</v>
      </c>
      <c r="M637">
        <f ca="1">IF(ISBLANK(Table1[[#This Row],[Exit]]),DATEDIF(Table1[[#This Row],[Hire]],TODAY(),"Y"),DATEDIF(Table1[[#This Row],[Hire]],Table1[[#This Row],[Exit]],"Y"))</f>
        <v>1</v>
      </c>
      <c r="N637" t="str" cm="1">
        <f t="array" ref="N637">_xlfn.IFS(
AND(D637&gt;=26,D637&lt;=30),"26–30",
AND(D637&gt;=31,D637&lt;=35),"31–35",
AND(D637&gt;=36,D637&lt;=40),"36–40",
AND(D637&gt;=41,D637&lt;=45),"41–45",
AND(D637&gt;=46,D637&lt;=50),"46–50",
AND(D637&gt;=51,D637&lt;=60),"51–60")</f>
        <v>41–45</v>
      </c>
    </row>
    <row r="638" spans="1:14" x14ac:dyDescent="0.35">
      <c r="A638" t="s">
        <v>1259</v>
      </c>
      <c r="B638" t="s">
        <v>1260</v>
      </c>
      <c r="C638" t="s">
        <v>41</v>
      </c>
      <c r="D638">
        <v>50</v>
      </c>
      <c r="E638" t="s">
        <v>81</v>
      </c>
      <c r="F638" t="s">
        <v>46</v>
      </c>
      <c r="G638" t="s">
        <v>23</v>
      </c>
      <c r="H638" s="1">
        <v>45237</v>
      </c>
      <c r="I638" s="1">
        <v>45430</v>
      </c>
      <c r="J638">
        <v>1280000</v>
      </c>
      <c r="K638">
        <v>0</v>
      </c>
      <c r="L638" t="s">
        <v>18</v>
      </c>
      <c r="M638">
        <f ca="1">IF(ISBLANK(Table1[[#This Row],[Exit]]),DATEDIF(Table1[[#This Row],[Hire]],TODAY(),"Y"),DATEDIF(Table1[[#This Row],[Hire]],Table1[[#This Row],[Exit]],"Y"))</f>
        <v>0</v>
      </c>
      <c r="N638" t="str" cm="1">
        <f t="array" ref="N638">_xlfn.IFS(
AND(D638&gt;=26,D638&lt;=30),"26–30",
AND(D638&gt;=31,D638&lt;=35),"31–35",
AND(D638&gt;=36,D638&lt;=40),"36–40",
AND(D638&gt;=41,D638&lt;=45),"41–45",
AND(D638&gt;=46,D638&lt;=50),"46–50",
AND(D638&gt;=51,D638&lt;=60),"51–60")</f>
        <v>46–50</v>
      </c>
    </row>
    <row r="639" spans="1:14" x14ac:dyDescent="0.35">
      <c r="A639" t="s">
        <v>119</v>
      </c>
      <c r="B639" t="s">
        <v>1261</v>
      </c>
      <c r="C639" t="s">
        <v>14</v>
      </c>
      <c r="D639">
        <v>36</v>
      </c>
      <c r="E639" t="s">
        <v>22</v>
      </c>
      <c r="F639" t="s">
        <v>16</v>
      </c>
      <c r="G639" t="s">
        <v>34</v>
      </c>
      <c r="H639" s="1">
        <v>45206</v>
      </c>
      <c r="J639">
        <v>1282000</v>
      </c>
      <c r="K639">
        <v>0.3</v>
      </c>
      <c r="L639" t="s">
        <v>24</v>
      </c>
      <c r="M639">
        <f ca="1">IF(ISBLANK(Table1[[#This Row],[Exit]]),DATEDIF(Table1[[#This Row],[Hire]],TODAY(),"Y"),DATEDIF(Table1[[#This Row],[Hire]],Table1[[#This Row],[Exit]],"Y"))</f>
        <v>2</v>
      </c>
      <c r="N639" t="str" cm="1">
        <f t="array" ref="N639">_xlfn.IFS(
AND(D639&gt;=26,D639&lt;=30),"26–30",
AND(D639&gt;=31,D639&lt;=35),"31–35",
AND(D639&gt;=36,D639&lt;=40),"36–40",
AND(D639&gt;=41,D639&lt;=45),"41–45",
AND(D639&gt;=46,D639&lt;=50),"46–50",
AND(D639&gt;=51,D639&lt;=60),"51–60")</f>
        <v>36–40</v>
      </c>
    </row>
    <row r="640" spans="1:14" x14ac:dyDescent="0.35">
      <c r="A640" t="s">
        <v>1262</v>
      </c>
      <c r="B640" t="s">
        <v>1263</v>
      </c>
      <c r="C640" t="s">
        <v>21</v>
      </c>
      <c r="D640">
        <v>45</v>
      </c>
      <c r="E640" t="s">
        <v>92</v>
      </c>
      <c r="F640" t="s">
        <v>59</v>
      </c>
      <c r="G640" t="s">
        <v>34</v>
      </c>
      <c r="H640" s="1">
        <v>44677</v>
      </c>
      <c r="J640">
        <v>1284000</v>
      </c>
      <c r="K640">
        <v>0.18</v>
      </c>
      <c r="L640" t="s">
        <v>24</v>
      </c>
      <c r="M640">
        <f ca="1">IF(ISBLANK(Table1[[#This Row],[Exit]]),DATEDIF(Table1[[#This Row],[Hire]],TODAY(),"Y"),DATEDIF(Table1[[#This Row],[Hire]],Table1[[#This Row],[Exit]],"Y"))</f>
        <v>3</v>
      </c>
      <c r="N640" t="str" cm="1">
        <f t="array" ref="N640">_xlfn.IFS(
AND(D640&gt;=26,D640&lt;=30),"26–30",
AND(D640&gt;=31,D640&lt;=35),"31–35",
AND(D640&gt;=36,D640&lt;=40),"36–40",
AND(D640&gt;=41,D640&lt;=45),"41–45",
AND(D640&gt;=46,D640&lt;=50),"46–50",
AND(D640&gt;=51,D640&lt;=60),"51–60")</f>
        <v>41–45</v>
      </c>
    </row>
    <row r="641" spans="1:14" x14ac:dyDescent="0.35">
      <c r="A641" t="s">
        <v>1264</v>
      </c>
      <c r="B641" t="s">
        <v>1265</v>
      </c>
      <c r="C641" t="s">
        <v>41</v>
      </c>
      <c r="D641">
        <v>29</v>
      </c>
      <c r="E641" t="s">
        <v>31</v>
      </c>
      <c r="F641" t="s">
        <v>16</v>
      </c>
      <c r="G641" t="s">
        <v>17</v>
      </c>
      <c r="H641" s="1">
        <v>43889</v>
      </c>
      <c r="I641" s="1">
        <v>44815</v>
      </c>
      <c r="J641">
        <v>1286000</v>
      </c>
      <c r="K641">
        <v>0</v>
      </c>
      <c r="L641" t="s">
        <v>18</v>
      </c>
      <c r="M641">
        <f ca="1">IF(ISBLANK(Table1[[#This Row],[Exit]]),DATEDIF(Table1[[#This Row],[Hire]],TODAY(),"Y"),DATEDIF(Table1[[#This Row],[Hire]],Table1[[#This Row],[Exit]],"Y"))</f>
        <v>2</v>
      </c>
      <c r="N641" t="str" cm="1">
        <f t="array" ref="N641">_xlfn.IFS(
AND(D641&gt;=26,D641&lt;=30),"26–30",
AND(D641&gt;=31,D641&lt;=35),"31–35",
AND(D641&gt;=36,D641&lt;=40),"36–40",
AND(D641&gt;=41,D641&lt;=45),"41–45",
AND(D641&gt;=46,D641&lt;=50),"46–50",
AND(D641&gt;=51,D641&lt;=60),"51–60")</f>
        <v>26–30</v>
      </c>
    </row>
    <row r="642" spans="1:14" x14ac:dyDescent="0.35">
      <c r="A642" t="s">
        <v>1266</v>
      </c>
      <c r="B642" t="s">
        <v>1267</v>
      </c>
      <c r="C642" t="s">
        <v>14</v>
      </c>
      <c r="D642">
        <v>41</v>
      </c>
      <c r="E642" t="s">
        <v>15</v>
      </c>
      <c r="F642" t="s">
        <v>16</v>
      </c>
      <c r="G642" t="s">
        <v>17</v>
      </c>
      <c r="H642" s="1">
        <v>44116</v>
      </c>
      <c r="I642" s="1">
        <v>45206</v>
      </c>
      <c r="J642">
        <v>1288000</v>
      </c>
      <c r="K642">
        <v>0.24</v>
      </c>
      <c r="L642" t="s">
        <v>18</v>
      </c>
      <c r="M642">
        <f ca="1">IF(ISBLANK(Table1[[#This Row],[Exit]]),DATEDIF(Table1[[#This Row],[Hire]],TODAY(),"Y"),DATEDIF(Table1[[#This Row],[Hire]],Table1[[#This Row],[Exit]],"Y"))</f>
        <v>2</v>
      </c>
      <c r="N642" t="str" cm="1">
        <f t="array" ref="N642">_xlfn.IFS(
AND(D642&gt;=26,D642&lt;=30),"26–30",
AND(D642&gt;=31,D642&lt;=35),"31–35",
AND(D642&gt;=36,D642&lt;=40),"36–40",
AND(D642&gt;=41,D642&lt;=45),"41–45",
AND(D642&gt;=46,D642&lt;=50),"46–50",
AND(D642&gt;=51,D642&lt;=60),"51–60")</f>
        <v>41–45</v>
      </c>
    </row>
    <row r="643" spans="1:14" x14ac:dyDescent="0.35">
      <c r="A643" t="s">
        <v>1268</v>
      </c>
      <c r="B643" t="s">
        <v>1269</v>
      </c>
      <c r="C643" t="s">
        <v>21</v>
      </c>
      <c r="D643">
        <v>47</v>
      </c>
      <c r="E643" t="s">
        <v>22</v>
      </c>
      <c r="F643" t="s">
        <v>16</v>
      </c>
      <c r="G643" t="s">
        <v>23</v>
      </c>
      <c r="H643" s="1">
        <v>44588</v>
      </c>
      <c r="J643">
        <v>1290000</v>
      </c>
      <c r="K643">
        <v>0</v>
      </c>
      <c r="L643" t="s">
        <v>24</v>
      </c>
      <c r="M643">
        <f ca="1">IF(ISBLANK(Table1[[#This Row],[Exit]]),DATEDIF(Table1[[#This Row],[Hire]],TODAY(),"Y"),DATEDIF(Table1[[#This Row],[Hire]],Table1[[#This Row],[Exit]],"Y"))</f>
        <v>4</v>
      </c>
      <c r="N643" t="str" cm="1">
        <f t="array" ref="N643">_xlfn.IFS(
AND(D643&gt;=26,D643&lt;=30),"26–30",
AND(D643&gt;=31,D643&lt;=35),"31–35",
AND(D643&gt;=36,D643&lt;=40),"36–40",
AND(D643&gt;=41,D643&lt;=45),"41–45",
AND(D643&gt;=46,D643&lt;=50),"46–50",
AND(D643&gt;=51,D643&lt;=60),"51–60")</f>
        <v>46–50</v>
      </c>
    </row>
    <row r="644" spans="1:14" x14ac:dyDescent="0.35">
      <c r="A644" t="s">
        <v>1270</v>
      </c>
      <c r="B644" t="s">
        <v>1271</v>
      </c>
      <c r="C644" t="s">
        <v>21</v>
      </c>
      <c r="D644">
        <v>38</v>
      </c>
      <c r="E644" t="s">
        <v>27</v>
      </c>
      <c r="F644" t="s">
        <v>28</v>
      </c>
      <c r="G644" t="s">
        <v>17</v>
      </c>
      <c r="H644" s="1">
        <v>43876</v>
      </c>
      <c r="I644" s="1">
        <v>45440</v>
      </c>
      <c r="J644">
        <v>1292000</v>
      </c>
      <c r="K644">
        <v>0</v>
      </c>
      <c r="L644" t="s">
        <v>18</v>
      </c>
      <c r="M644">
        <f ca="1">IF(ISBLANK(Table1[[#This Row],[Exit]]),DATEDIF(Table1[[#This Row],[Hire]],TODAY(),"Y"),DATEDIF(Table1[[#This Row],[Hire]],Table1[[#This Row],[Exit]],"Y"))</f>
        <v>4</v>
      </c>
      <c r="N644" t="str" cm="1">
        <f t="array" ref="N644">_xlfn.IFS(
AND(D644&gt;=26,D644&lt;=30),"26–30",
AND(D644&gt;=31,D644&lt;=35),"31–35",
AND(D644&gt;=36,D644&lt;=40),"36–40",
AND(D644&gt;=41,D644&lt;=45),"41–45",
AND(D644&gt;=46,D644&lt;=50),"46–50",
AND(D644&gt;=51,D644&lt;=60),"51–60")</f>
        <v>36–40</v>
      </c>
    </row>
    <row r="645" spans="1:14" x14ac:dyDescent="0.35">
      <c r="A645" t="s">
        <v>1272</v>
      </c>
      <c r="B645" t="s">
        <v>1273</v>
      </c>
      <c r="C645" t="s">
        <v>21</v>
      </c>
      <c r="D645">
        <v>40</v>
      </c>
      <c r="E645" t="s">
        <v>31</v>
      </c>
      <c r="F645" t="s">
        <v>16</v>
      </c>
      <c r="G645" t="s">
        <v>23</v>
      </c>
      <c r="H645" s="1">
        <v>45332</v>
      </c>
      <c r="J645">
        <v>1294000</v>
      </c>
      <c r="K645">
        <v>0</v>
      </c>
      <c r="L645" t="s">
        <v>24</v>
      </c>
      <c r="M645">
        <f ca="1">IF(ISBLANK(Table1[[#This Row],[Exit]]),DATEDIF(Table1[[#This Row],[Hire]],TODAY(),"Y"),DATEDIF(Table1[[#This Row],[Hire]],Table1[[#This Row],[Exit]],"Y"))</f>
        <v>1</v>
      </c>
      <c r="N645" t="str" cm="1">
        <f t="array" ref="N645">_xlfn.IFS(
AND(D645&gt;=26,D645&lt;=30),"26–30",
AND(D645&gt;=31,D645&lt;=35),"31–35",
AND(D645&gt;=36,D645&lt;=40),"36–40",
AND(D645&gt;=41,D645&lt;=45),"41–45",
AND(D645&gt;=46,D645&lt;=50),"46–50",
AND(D645&gt;=51,D645&lt;=60),"51–60")</f>
        <v>36–40</v>
      </c>
    </row>
    <row r="646" spans="1:14" x14ac:dyDescent="0.35">
      <c r="A646" t="s">
        <v>1274</v>
      </c>
      <c r="B646" t="s">
        <v>1275</v>
      </c>
      <c r="C646" t="s">
        <v>21</v>
      </c>
      <c r="D646">
        <v>45</v>
      </c>
      <c r="E646" t="s">
        <v>27</v>
      </c>
      <c r="F646" t="s">
        <v>28</v>
      </c>
      <c r="G646" t="s">
        <v>34</v>
      </c>
      <c r="H646" s="1">
        <v>44183</v>
      </c>
      <c r="J646">
        <v>1296000</v>
      </c>
      <c r="K646">
        <v>0</v>
      </c>
      <c r="L646" t="s">
        <v>24</v>
      </c>
      <c r="M646">
        <f ca="1">IF(ISBLANK(Table1[[#This Row],[Exit]]),DATEDIF(Table1[[#This Row],[Hire]],TODAY(),"Y"),DATEDIF(Table1[[#This Row],[Hire]],Table1[[#This Row],[Exit]],"Y"))</f>
        <v>5</v>
      </c>
      <c r="N646" t="str" cm="1">
        <f t="array" ref="N646">_xlfn.IFS(
AND(D646&gt;=26,D646&lt;=30),"26–30",
AND(D646&gt;=31,D646&lt;=35),"31–35",
AND(D646&gt;=36,D646&lt;=40),"36–40",
AND(D646&gt;=41,D646&lt;=45),"41–45",
AND(D646&gt;=46,D646&lt;=50),"46–50",
AND(D646&gt;=51,D646&lt;=60),"51–60")</f>
        <v>41–45</v>
      </c>
    </row>
    <row r="647" spans="1:14" x14ac:dyDescent="0.35">
      <c r="A647" t="s">
        <v>1276</v>
      </c>
      <c r="B647" t="s">
        <v>1277</v>
      </c>
      <c r="C647" t="s">
        <v>14</v>
      </c>
      <c r="D647">
        <v>46</v>
      </c>
      <c r="E647" t="s">
        <v>15</v>
      </c>
      <c r="F647" t="s">
        <v>16</v>
      </c>
      <c r="G647" t="s">
        <v>23</v>
      </c>
      <c r="H647" s="1">
        <v>43837</v>
      </c>
      <c r="J647">
        <v>1298000</v>
      </c>
      <c r="K647">
        <v>0.15</v>
      </c>
      <c r="L647" t="s">
        <v>24</v>
      </c>
      <c r="M647">
        <f ca="1">IF(ISBLANK(Table1[[#This Row],[Exit]]),DATEDIF(Table1[[#This Row],[Hire]],TODAY(),"Y"),DATEDIF(Table1[[#This Row],[Hire]],Table1[[#This Row],[Exit]],"Y"))</f>
        <v>6</v>
      </c>
      <c r="N647" t="str" cm="1">
        <f t="array" ref="N647">_xlfn.IFS(
AND(D647&gt;=26,D647&lt;=30),"26–30",
AND(D647&gt;=31,D647&lt;=35),"31–35",
AND(D647&gt;=36,D647&lt;=40),"36–40",
AND(D647&gt;=41,D647&lt;=45),"41–45",
AND(D647&gt;=46,D647&lt;=50),"46–50",
AND(D647&gt;=51,D647&lt;=60),"51–60")</f>
        <v>46–50</v>
      </c>
    </row>
    <row r="648" spans="1:14" x14ac:dyDescent="0.35">
      <c r="A648" t="s">
        <v>1278</v>
      </c>
      <c r="B648" t="s">
        <v>1279</v>
      </c>
      <c r="C648" t="s">
        <v>21</v>
      </c>
      <c r="D648">
        <v>35</v>
      </c>
      <c r="E648" t="s">
        <v>15</v>
      </c>
      <c r="F648" t="s">
        <v>16</v>
      </c>
      <c r="G648" t="s">
        <v>34</v>
      </c>
      <c r="H648" s="1">
        <v>45206</v>
      </c>
      <c r="J648">
        <v>1300000</v>
      </c>
      <c r="K648">
        <v>0</v>
      </c>
      <c r="L648" t="s">
        <v>24</v>
      </c>
      <c r="M648">
        <f ca="1">IF(ISBLANK(Table1[[#This Row],[Exit]]),DATEDIF(Table1[[#This Row],[Hire]],TODAY(),"Y"),DATEDIF(Table1[[#This Row],[Hire]],Table1[[#This Row],[Exit]],"Y"))</f>
        <v>2</v>
      </c>
      <c r="N648" t="str" cm="1">
        <f t="array" ref="N648">_xlfn.IFS(
AND(D648&gt;=26,D648&lt;=30),"26–30",
AND(D648&gt;=31,D648&lt;=35),"31–35",
AND(D648&gt;=36,D648&lt;=40),"36–40",
AND(D648&gt;=41,D648&lt;=45),"41–45",
AND(D648&gt;=46,D648&lt;=50),"46–50",
AND(D648&gt;=51,D648&lt;=60),"51–60")</f>
        <v>31–35</v>
      </c>
    </row>
    <row r="649" spans="1:14" x14ac:dyDescent="0.35">
      <c r="A649" t="s">
        <v>1280</v>
      </c>
      <c r="B649" t="s">
        <v>1281</v>
      </c>
      <c r="C649" t="s">
        <v>14</v>
      </c>
      <c r="D649">
        <v>46</v>
      </c>
      <c r="E649" t="s">
        <v>42</v>
      </c>
      <c r="F649" t="s">
        <v>43</v>
      </c>
      <c r="G649" t="s">
        <v>34</v>
      </c>
      <c r="H649" s="1">
        <v>44487</v>
      </c>
      <c r="J649">
        <v>1302000</v>
      </c>
      <c r="K649">
        <v>0.26</v>
      </c>
      <c r="L649" t="s">
        <v>24</v>
      </c>
      <c r="M649">
        <f ca="1">IF(ISBLANK(Table1[[#This Row],[Exit]]),DATEDIF(Table1[[#This Row],[Hire]],TODAY(),"Y"),DATEDIF(Table1[[#This Row],[Hire]],Table1[[#This Row],[Exit]],"Y"))</f>
        <v>4</v>
      </c>
      <c r="N649" t="str" cm="1">
        <f t="array" ref="N649">_xlfn.IFS(
AND(D649&gt;=26,D649&lt;=30),"26–30",
AND(D649&gt;=31,D649&lt;=35),"31–35",
AND(D649&gt;=36,D649&lt;=40),"36–40",
AND(D649&gt;=41,D649&lt;=45),"41–45",
AND(D649&gt;=46,D649&lt;=50),"46–50",
AND(D649&gt;=51,D649&lt;=60),"51–60")</f>
        <v>46–50</v>
      </c>
    </row>
    <row r="650" spans="1:14" x14ac:dyDescent="0.35">
      <c r="A650" t="s">
        <v>1282</v>
      </c>
      <c r="B650" t="s">
        <v>1283</v>
      </c>
      <c r="C650" t="s">
        <v>14</v>
      </c>
      <c r="D650">
        <v>35</v>
      </c>
      <c r="E650" t="s">
        <v>42</v>
      </c>
      <c r="F650" t="s">
        <v>46</v>
      </c>
      <c r="G650" t="s">
        <v>23</v>
      </c>
      <c r="H650" s="1">
        <v>44791</v>
      </c>
      <c r="J650">
        <v>1304000</v>
      </c>
      <c r="K650">
        <v>0</v>
      </c>
      <c r="L650" t="s">
        <v>24</v>
      </c>
      <c r="M650">
        <f ca="1">IF(ISBLANK(Table1[[#This Row],[Exit]]),DATEDIF(Table1[[#This Row],[Hire]],TODAY(),"Y"),DATEDIF(Table1[[#This Row],[Hire]],Table1[[#This Row],[Exit]],"Y"))</f>
        <v>3</v>
      </c>
      <c r="N650" t="str" cm="1">
        <f t="array" ref="N650">_xlfn.IFS(
AND(D650&gt;=26,D650&lt;=30),"26–30",
AND(D650&gt;=31,D650&lt;=35),"31–35",
AND(D650&gt;=36,D650&lt;=40),"36–40",
AND(D650&gt;=41,D650&lt;=45),"41–45",
AND(D650&gt;=46,D650&lt;=50),"46–50",
AND(D650&gt;=51,D650&lt;=60),"51–60")</f>
        <v>31–35</v>
      </c>
    </row>
    <row r="651" spans="1:14" x14ac:dyDescent="0.35">
      <c r="A651" t="s">
        <v>1284</v>
      </c>
      <c r="B651" t="s">
        <v>1285</v>
      </c>
      <c r="C651" t="s">
        <v>14</v>
      </c>
      <c r="D651">
        <v>46</v>
      </c>
      <c r="E651" t="s">
        <v>42</v>
      </c>
      <c r="F651" t="s">
        <v>49</v>
      </c>
      <c r="G651" t="s">
        <v>17</v>
      </c>
      <c r="H651" s="1">
        <v>45440</v>
      </c>
      <c r="J651">
        <v>1306000</v>
      </c>
      <c r="K651">
        <v>0.12</v>
      </c>
      <c r="L651" t="s">
        <v>24</v>
      </c>
      <c r="M651">
        <f ca="1">IF(ISBLANK(Table1[[#This Row],[Exit]]),DATEDIF(Table1[[#This Row],[Hire]],TODAY(),"Y"),DATEDIF(Table1[[#This Row],[Hire]],Table1[[#This Row],[Exit]],"Y"))</f>
        <v>1</v>
      </c>
      <c r="N651" t="str" cm="1">
        <f t="array" ref="N651">_xlfn.IFS(
AND(D651&gt;=26,D651&lt;=30),"26–30",
AND(D651&gt;=31,D651&lt;=35),"31–35",
AND(D651&gt;=36,D651&lt;=40),"36–40",
AND(D651&gt;=41,D651&lt;=45),"41–45",
AND(D651&gt;=46,D651&lt;=50),"46–50",
AND(D651&gt;=51,D651&lt;=60),"51–60")</f>
        <v>46–50</v>
      </c>
    </row>
    <row r="652" spans="1:14" x14ac:dyDescent="0.35">
      <c r="A652" t="s">
        <v>1286</v>
      </c>
      <c r="B652" t="s">
        <v>1287</v>
      </c>
      <c r="C652" t="s">
        <v>14</v>
      </c>
      <c r="D652">
        <v>46</v>
      </c>
      <c r="E652" t="s">
        <v>52</v>
      </c>
      <c r="F652" t="s">
        <v>16</v>
      </c>
      <c r="G652" t="s">
        <v>53</v>
      </c>
      <c r="H652" s="1">
        <v>44811</v>
      </c>
      <c r="J652">
        <v>1308000</v>
      </c>
      <c r="K652">
        <v>0</v>
      </c>
      <c r="L652" t="s">
        <v>24</v>
      </c>
      <c r="M652">
        <f ca="1">IF(ISBLANK(Table1[[#This Row],[Exit]]),DATEDIF(Table1[[#This Row],[Hire]],TODAY(),"Y"),DATEDIF(Table1[[#This Row],[Hire]],Table1[[#This Row],[Exit]],"Y"))</f>
        <v>3</v>
      </c>
      <c r="N652" t="str" cm="1">
        <f t="array" ref="N652">_xlfn.IFS(
AND(D652&gt;=26,D652&lt;=30),"26–30",
AND(D652&gt;=31,D652&lt;=35),"31–35",
AND(D652&gt;=36,D652&lt;=40),"36–40",
AND(D652&gt;=41,D652&lt;=45),"41–45",
AND(D652&gt;=46,D652&lt;=50),"46–50",
AND(D652&gt;=51,D652&lt;=60),"51–60")</f>
        <v>46–50</v>
      </c>
    </row>
    <row r="653" spans="1:14" x14ac:dyDescent="0.35">
      <c r="A653" t="s">
        <v>1288</v>
      </c>
      <c r="B653" t="s">
        <v>1289</v>
      </c>
      <c r="C653" t="s">
        <v>21</v>
      </c>
      <c r="D653">
        <v>51</v>
      </c>
      <c r="E653" t="s">
        <v>42</v>
      </c>
      <c r="F653" t="s">
        <v>46</v>
      </c>
      <c r="G653" t="s">
        <v>53</v>
      </c>
      <c r="H653" s="1">
        <v>45294</v>
      </c>
      <c r="J653">
        <v>1310000</v>
      </c>
      <c r="K653">
        <v>0</v>
      </c>
      <c r="L653" t="s">
        <v>24</v>
      </c>
      <c r="M653">
        <f ca="1">IF(ISBLANK(Table1[[#This Row],[Exit]]),DATEDIF(Table1[[#This Row],[Hire]],TODAY(),"Y"),DATEDIF(Table1[[#This Row],[Hire]],Table1[[#This Row],[Exit]],"Y"))</f>
        <v>2</v>
      </c>
      <c r="N653" t="str" cm="1">
        <f t="array" ref="N653">_xlfn.IFS(
AND(D653&gt;=26,D653&lt;=30),"26–30",
AND(D653&gt;=31,D653&lt;=35),"31–35",
AND(D653&gt;=36,D653&lt;=40),"36–40",
AND(D653&gt;=41,D653&lt;=45),"41–45",
AND(D653&gt;=46,D653&lt;=50),"46–50",
AND(D653&gt;=51,D653&lt;=60),"51–60")</f>
        <v>51–60</v>
      </c>
    </row>
    <row r="654" spans="1:14" x14ac:dyDescent="0.35">
      <c r="A654" t="s">
        <v>1290</v>
      </c>
      <c r="B654" t="s">
        <v>1291</v>
      </c>
      <c r="C654" t="s">
        <v>14</v>
      </c>
      <c r="D654">
        <v>46</v>
      </c>
      <c r="E654" t="s">
        <v>58</v>
      </c>
      <c r="F654" t="s">
        <v>59</v>
      </c>
      <c r="G654" t="s">
        <v>34</v>
      </c>
      <c r="H654" s="1">
        <v>45074</v>
      </c>
      <c r="J654">
        <v>1312000</v>
      </c>
      <c r="K654">
        <v>0</v>
      </c>
      <c r="L654" t="s">
        <v>24</v>
      </c>
      <c r="M654">
        <f ca="1">IF(ISBLANK(Table1[[#This Row],[Exit]]),DATEDIF(Table1[[#This Row],[Hire]],TODAY(),"Y"),DATEDIF(Table1[[#This Row],[Hire]],Table1[[#This Row],[Exit]],"Y"))</f>
        <v>2</v>
      </c>
      <c r="N654" t="str" cm="1">
        <f t="array" ref="N654">_xlfn.IFS(
AND(D654&gt;=26,D654&lt;=30),"26–30",
AND(D654&gt;=31,D654&lt;=35),"31–35",
AND(D654&gt;=36,D654&lt;=40),"36–40",
AND(D654&gt;=41,D654&lt;=45),"41–45",
AND(D654&gt;=46,D654&lt;=50),"46–50",
AND(D654&gt;=51,D654&lt;=60),"51–60")</f>
        <v>46–50</v>
      </c>
    </row>
    <row r="655" spans="1:14" x14ac:dyDescent="0.35">
      <c r="A655" t="s">
        <v>1292</v>
      </c>
      <c r="B655" t="s">
        <v>1293</v>
      </c>
      <c r="C655" t="s">
        <v>21</v>
      </c>
      <c r="D655">
        <v>36</v>
      </c>
      <c r="E655" t="s">
        <v>52</v>
      </c>
      <c r="F655" t="s">
        <v>16</v>
      </c>
      <c r="G655" t="s">
        <v>23</v>
      </c>
      <c r="H655" s="1">
        <v>45245</v>
      </c>
      <c r="J655">
        <v>1314000</v>
      </c>
      <c r="K655">
        <v>0.08</v>
      </c>
      <c r="L655" t="s">
        <v>24</v>
      </c>
      <c r="M655">
        <f ca="1">IF(ISBLANK(Table1[[#This Row],[Exit]]),DATEDIF(Table1[[#This Row],[Hire]],TODAY(),"Y"),DATEDIF(Table1[[#This Row],[Hire]],Table1[[#This Row],[Exit]],"Y"))</f>
        <v>2</v>
      </c>
      <c r="N655" t="str" cm="1">
        <f t="array" ref="N655">_xlfn.IFS(
AND(D655&gt;=26,D655&lt;=30),"26–30",
AND(D655&gt;=31,D655&lt;=35),"31–35",
AND(D655&gt;=36,D655&lt;=40),"36–40",
AND(D655&gt;=41,D655&lt;=45),"41–45",
AND(D655&gt;=46,D655&lt;=50),"46–50",
AND(D655&gt;=51,D655&lt;=60),"51–60")</f>
        <v>36–40</v>
      </c>
    </row>
    <row r="656" spans="1:14" x14ac:dyDescent="0.35">
      <c r="A656" t="s">
        <v>1294</v>
      </c>
      <c r="B656" t="s">
        <v>1295</v>
      </c>
      <c r="C656" t="s">
        <v>14</v>
      </c>
      <c r="D656">
        <v>45</v>
      </c>
      <c r="E656" t="s">
        <v>52</v>
      </c>
      <c r="F656" t="s">
        <v>16</v>
      </c>
      <c r="G656" t="s">
        <v>34</v>
      </c>
      <c r="H656" s="1">
        <v>43851</v>
      </c>
      <c r="J656">
        <v>1316000</v>
      </c>
      <c r="K656">
        <v>0</v>
      </c>
      <c r="L656" t="s">
        <v>24</v>
      </c>
      <c r="M656">
        <f ca="1">IF(ISBLANK(Table1[[#This Row],[Exit]]),DATEDIF(Table1[[#This Row],[Hire]],TODAY(),"Y"),DATEDIF(Table1[[#This Row],[Hire]],Table1[[#This Row],[Exit]],"Y"))</f>
        <v>6</v>
      </c>
      <c r="N656" t="str" cm="1">
        <f t="array" ref="N656">_xlfn.IFS(
AND(D656&gt;=26,D656&lt;=30),"26–30",
AND(D656&gt;=31,D656&lt;=35),"31–35",
AND(D656&gt;=36,D656&lt;=40),"36–40",
AND(D656&gt;=41,D656&lt;=45),"41–45",
AND(D656&gt;=46,D656&lt;=50),"46–50",
AND(D656&gt;=51,D656&lt;=60),"51–60")</f>
        <v>41–45</v>
      </c>
    </row>
    <row r="657" spans="1:14" x14ac:dyDescent="0.35">
      <c r="A657" t="s">
        <v>1296</v>
      </c>
      <c r="B657" t="s">
        <v>1297</v>
      </c>
      <c r="C657" t="s">
        <v>21</v>
      </c>
      <c r="D657">
        <v>37</v>
      </c>
      <c r="E657" t="s">
        <v>66</v>
      </c>
      <c r="F657" t="s">
        <v>16</v>
      </c>
      <c r="G657" t="s">
        <v>17</v>
      </c>
      <c r="H657" s="1">
        <v>45206</v>
      </c>
      <c r="J657">
        <v>1318000</v>
      </c>
      <c r="K657">
        <v>7.0000000000000007E-2</v>
      </c>
      <c r="L657" t="s">
        <v>24</v>
      </c>
      <c r="M657">
        <f ca="1">IF(ISBLANK(Table1[[#This Row],[Exit]]),DATEDIF(Table1[[#This Row],[Hire]],TODAY(),"Y"),DATEDIF(Table1[[#This Row],[Hire]],Table1[[#This Row],[Exit]],"Y"))</f>
        <v>2</v>
      </c>
      <c r="N657" t="str" cm="1">
        <f t="array" ref="N657">_xlfn.IFS(
AND(D657&gt;=26,D657&lt;=30),"26–30",
AND(D657&gt;=31,D657&lt;=35),"31–35",
AND(D657&gt;=36,D657&lt;=40),"36–40",
AND(D657&gt;=41,D657&lt;=45),"41–45",
AND(D657&gt;=46,D657&lt;=50),"46–50",
AND(D657&gt;=51,D657&lt;=60),"51–60")</f>
        <v>36–40</v>
      </c>
    </row>
    <row r="658" spans="1:14" x14ac:dyDescent="0.35">
      <c r="A658" t="s">
        <v>452</v>
      </c>
      <c r="B658" t="s">
        <v>1298</v>
      </c>
      <c r="C658" t="s">
        <v>21</v>
      </c>
      <c r="D658">
        <v>38</v>
      </c>
      <c r="E658" t="s">
        <v>58</v>
      </c>
      <c r="F658" t="s">
        <v>59</v>
      </c>
      <c r="G658" t="s">
        <v>23</v>
      </c>
      <c r="H658" s="1">
        <v>45401</v>
      </c>
      <c r="J658">
        <v>1320000</v>
      </c>
      <c r="K658">
        <v>7.0000000000000007E-2</v>
      </c>
      <c r="L658" t="s">
        <v>24</v>
      </c>
      <c r="M658">
        <f ca="1">IF(ISBLANK(Table1[[#This Row],[Exit]]),DATEDIF(Table1[[#This Row],[Hire]],TODAY(),"Y"),DATEDIF(Table1[[#This Row],[Hire]],Table1[[#This Row],[Exit]],"Y"))</f>
        <v>1</v>
      </c>
      <c r="N658" t="str" cm="1">
        <f t="array" ref="N658">_xlfn.IFS(
AND(D658&gt;=26,D658&lt;=30),"26–30",
AND(D658&gt;=31,D658&lt;=35),"31–35",
AND(D658&gt;=36,D658&lt;=40),"36–40",
AND(D658&gt;=41,D658&lt;=45),"41–45",
AND(D658&gt;=46,D658&lt;=50),"46–50",
AND(D658&gt;=51,D658&lt;=60),"51–60")</f>
        <v>36–40</v>
      </c>
    </row>
    <row r="659" spans="1:14" x14ac:dyDescent="0.35">
      <c r="A659" t="s">
        <v>1299</v>
      </c>
      <c r="B659" t="s">
        <v>1300</v>
      </c>
      <c r="C659" t="s">
        <v>41</v>
      </c>
      <c r="D659">
        <v>45</v>
      </c>
      <c r="E659" t="s">
        <v>66</v>
      </c>
      <c r="F659" t="s">
        <v>16</v>
      </c>
      <c r="G659" t="s">
        <v>34</v>
      </c>
      <c r="H659" s="1">
        <v>44083</v>
      </c>
      <c r="J659">
        <v>1322000</v>
      </c>
      <c r="K659">
        <v>0</v>
      </c>
      <c r="L659" t="s">
        <v>24</v>
      </c>
      <c r="M659">
        <f ca="1">IF(ISBLANK(Table1[[#This Row],[Exit]]),DATEDIF(Table1[[#This Row],[Hire]],TODAY(),"Y"),DATEDIF(Table1[[#This Row],[Hire]],Table1[[#This Row],[Exit]],"Y"))</f>
        <v>5</v>
      </c>
      <c r="N659" t="str" cm="1">
        <f t="array" ref="N659">_xlfn.IFS(
AND(D659&gt;=26,D659&lt;=30),"26–30",
AND(D659&gt;=31,D659&lt;=35),"31–35",
AND(D659&gt;=36,D659&lt;=40),"36–40",
AND(D659&gt;=41,D659&lt;=45),"41–45",
AND(D659&gt;=46,D659&lt;=50),"46–50",
AND(D659&gt;=51,D659&lt;=60),"51–60")</f>
        <v>41–45</v>
      </c>
    </row>
    <row r="660" spans="1:14" x14ac:dyDescent="0.35">
      <c r="A660" t="s">
        <v>1301</v>
      </c>
      <c r="B660" t="s">
        <v>1302</v>
      </c>
      <c r="C660" t="s">
        <v>14</v>
      </c>
      <c r="D660">
        <v>51</v>
      </c>
      <c r="E660" t="s">
        <v>66</v>
      </c>
      <c r="F660" t="s">
        <v>16</v>
      </c>
      <c r="G660" t="s">
        <v>53</v>
      </c>
      <c r="H660" s="1">
        <v>45233</v>
      </c>
      <c r="J660">
        <v>1324000</v>
      </c>
      <c r="K660">
        <v>0.12</v>
      </c>
      <c r="L660" t="s">
        <v>24</v>
      </c>
      <c r="M660">
        <f ca="1">IF(ISBLANK(Table1[[#This Row],[Exit]]),DATEDIF(Table1[[#This Row],[Hire]],TODAY(),"Y"),DATEDIF(Table1[[#This Row],[Hire]],Table1[[#This Row],[Exit]],"Y"))</f>
        <v>2</v>
      </c>
      <c r="N660" t="str" cm="1">
        <f t="array" ref="N660">_xlfn.IFS(
AND(D660&gt;=26,D660&lt;=30),"26–30",
AND(D660&gt;=31,D660&lt;=35),"31–35",
AND(D660&gt;=36,D660&lt;=40),"36–40",
AND(D660&gt;=41,D660&lt;=45),"41–45",
AND(D660&gt;=46,D660&lt;=50),"46–50",
AND(D660&gt;=51,D660&lt;=60),"51–60")</f>
        <v>51–60</v>
      </c>
    </row>
    <row r="661" spans="1:14" x14ac:dyDescent="0.35">
      <c r="A661" t="s">
        <v>1303</v>
      </c>
      <c r="B661" t="s">
        <v>1304</v>
      </c>
      <c r="C661" t="s">
        <v>41</v>
      </c>
      <c r="D661">
        <v>56</v>
      </c>
      <c r="E661" t="s">
        <v>58</v>
      </c>
      <c r="F661" t="s">
        <v>59</v>
      </c>
      <c r="G661" t="s">
        <v>53</v>
      </c>
      <c r="H661" s="1">
        <v>45412</v>
      </c>
      <c r="J661">
        <v>1326000</v>
      </c>
      <c r="K661">
        <v>0</v>
      </c>
      <c r="L661" t="s">
        <v>24</v>
      </c>
      <c r="M661">
        <f ca="1">IF(ISBLANK(Table1[[#This Row],[Exit]]),DATEDIF(Table1[[#This Row],[Hire]],TODAY(),"Y"),DATEDIF(Table1[[#This Row],[Hire]],Table1[[#This Row],[Exit]],"Y"))</f>
        <v>1</v>
      </c>
      <c r="N661" t="str" cm="1">
        <f t="array" ref="N661">_xlfn.IFS(
AND(D661&gt;=26,D661&lt;=30),"26–30",
AND(D661&gt;=31,D661&lt;=35),"31–35",
AND(D661&gt;=36,D661&lt;=40),"36–40",
AND(D661&gt;=41,D661&lt;=45),"41–45",
AND(D661&gt;=46,D661&lt;=50),"46–50",
AND(D661&gt;=51,D661&lt;=60),"51–60")</f>
        <v>51–60</v>
      </c>
    </row>
    <row r="662" spans="1:14" x14ac:dyDescent="0.35">
      <c r="A662" t="s">
        <v>1305</v>
      </c>
      <c r="B662" t="s">
        <v>1306</v>
      </c>
      <c r="C662" t="s">
        <v>14</v>
      </c>
      <c r="D662">
        <v>53</v>
      </c>
      <c r="E662" t="s">
        <v>15</v>
      </c>
      <c r="F662" t="s">
        <v>16</v>
      </c>
      <c r="G662" t="s">
        <v>53</v>
      </c>
      <c r="H662" s="1">
        <v>43887</v>
      </c>
      <c r="J662">
        <v>1328000</v>
      </c>
      <c r="K662">
        <v>0.26</v>
      </c>
      <c r="L662" t="s">
        <v>24</v>
      </c>
      <c r="M662">
        <f ca="1">IF(ISBLANK(Table1[[#This Row],[Exit]]),DATEDIF(Table1[[#This Row],[Hire]],TODAY(),"Y"),DATEDIF(Table1[[#This Row],[Hire]],Table1[[#This Row],[Exit]],"Y"))</f>
        <v>5</v>
      </c>
      <c r="N662" t="str" cm="1">
        <f t="array" ref="N662">_xlfn.IFS(
AND(D662&gt;=26,D662&lt;=30),"26–30",
AND(D662&gt;=31,D662&lt;=35),"31–35",
AND(D662&gt;=36,D662&lt;=40),"36–40",
AND(D662&gt;=41,D662&lt;=45),"41–45",
AND(D662&gt;=46,D662&lt;=50),"46–50",
AND(D662&gt;=51,D662&lt;=60),"51–60")</f>
        <v>51–60</v>
      </c>
    </row>
    <row r="663" spans="1:14" x14ac:dyDescent="0.35">
      <c r="A663" t="s">
        <v>1307</v>
      </c>
      <c r="B663" t="s">
        <v>1308</v>
      </c>
      <c r="C663" t="s">
        <v>21</v>
      </c>
      <c r="D663">
        <v>47</v>
      </c>
      <c r="E663" t="s">
        <v>22</v>
      </c>
      <c r="F663" t="s">
        <v>16</v>
      </c>
      <c r="G663" t="s">
        <v>53</v>
      </c>
      <c r="H663" s="1">
        <v>44815</v>
      </c>
      <c r="J663">
        <v>1330000</v>
      </c>
      <c r="K663">
        <v>0.13</v>
      </c>
      <c r="L663" t="s">
        <v>24</v>
      </c>
      <c r="M663">
        <f ca="1">IF(ISBLANK(Table1[[#This Row],[Exit]]),DATEDIF(Table1[[#This Row],[Hire]],TODAY(),"Y"),DATEDIF(Table1[[#This Row],[Hire]],Table1[[#This Row],[Exit]],"Y"))</f>
        <v>3</v>
      </c>
      <c r="N663" t="str" cm="1">
        <f t="array" ref="N663">_xlfn.IFS(
AND(D663&gt;=26,D663&lt;=30),"26–30",
AND(D663&gt;=31,D663&lt;=35),"31–35",
AND(D663&gt;=36,D663&lt;=40),"36–40",
AND(D663&gt;=41,D663&lt;=45),"41–45",
AND(D663&gt;=46,D663&lt;=50),"46–50",
AND(D663&gt;=51,D663&lt;=60),"51–60")</f>
        <v>46–50</v>
      </c>
    </row>
    <row r="664" spans="1:14" x14ac:dyDescent="0.35">
      <c r="A664" t="s">
        <v>1309</v>
      </c>
      <c r="B664" t="s">
        <v>1310</v>
      </c>
      <c r="C664" t="s">
        <v>21</v>
      </c>
      <c r="D664">
        <v>36</v>
      </c>
      <c r="E664" t="s">
        <v>81</v>
      </c>
      <c r="F664" t="s">
        <v>43</v>
      </c>
      <c r="G664" t="s">
        <v>53</v>
      </c>
      <c r="H664" s="1">
        <v>45430</v>
      </c>
      <c r="J664">
        <v>1332000</v>
      </c>
      <c r="K664">
        <v>0</v>
      </c>
      <c r="L664" t="s">
        <v>24</v>
      </c>
      <c r="M664">
        <f ca="1">IF(ISBLANK(Table1[[#This Row],[Exit]]),DATEDIF(Table1[[#This Row],[Hire]],TODAY(),"Y"),DATEDIF(Table1[[#This Row],[Hire]],Table1[[#This Row],[Exit]],"Y"))</f>
        <v>1</v>
      </c>
      <c r="N664" t="str" cm="1">
        <f t="array" ref="N664">_xlfn.IFS(
AND(D664&gt;=26,D664&lt;=30),"26–30",
AND(D664&gt;=31,D664&lt;=35),"31–35",
AND(D664&gt;=36,D664&lt;=40),"36–40",
AND(D664&gt;=41,D664&lt;=45),"41–45",
AND(D664&gt;=46,D664&lt;=50),"46–50",
AND(D664&gt;=51,D664&lt;=60),"51–60")</f>
        <v>36–40</v>
      </c>
    </row>
    <row r="665" spans="1:14" x14ac:dyDescent="0.35">
      <c r="A665" t="s">
        <v>1311</v>
      </c>
      <c r="B665" t="s">
        <v>1312</v>
      </c>
      <c r="C665" t="s">
        <v>21</v>
      </c>
      <c r="D665">
        <v>41</v>
      </c>
      <c r="E665" t="s">
        <v>52</v>
      </c>
      <c r="F665" t="s">
        <v>16</v>
      </c>
      <c r="G665" t="s">
        <v>17</v>
      </c>
      <c r="H665" s="1">
        <v>44509</v>
      </c>
      <c r="J665">
        <v>1334000</v>
      </c>
      <c r="K665">
        <v>0</v>
      </c>
      <c r="L665" t="s">
        <v>24</v>
      </c>
      <c r="M665">
        <f ca="1">IF(ISBLANK(Table1[[#This Row],[Exit]]),DATEDIF(Table1[[#This Row],[Hire]],TODAY(),"Y"),DATEDIF(Table1[[#This Row],[Hire]],Table1[[#This Row],[Exit]],"Y"))</f>
        <v>4</v>
      </c>
      <c r="N665" t="str" cm="1">
        <f t="array" ref="N665">_xlfn.IFS(
AND(D665&gt;=26,D665&lt;=30),"26–30",
AND(D665&gt;=31,D665&lt;=35),"31–35",
AND(D665&gt;=36,D665&lt;=40),"36–40",
AND(D665&gt;=41,D665&lt;=45),"41–45",
AND(D665&gt;=46,D665&lt;=50),"46–50",
AND(D665&gt;=51,D665&lt;=60),"51–60")</f>
        <v>41–45</v>
      </c>
    </row>
    <row r="666" spans="1:14" x14ac:dyDescent="0.35">
      <c r="A666" t="s">
        <v>1313</v>
      </c>
      <c r="B666" t="s">
        <v>1314</v>
      </c>
      <c r="C666" t="s">
        <v>21</v>
      </c>
      <c r="D666">
        <v>51</v>
      </c>
      <c r="E666" t="s">
        <v>66</v>
      </c>
      <c r="F666" t="s">
        <v>16</v>
      </c>
      <c r="G666" t="s">
        <v>23</v>
      </c>
      <c r="H666" s="1">
        <v>43963</v>
      </c>
      <c r="J666">
        <v>1336000</v>
      </c>
      <c r="K666">
        <v>0.08</v>
      </c>
      <c r="L666" t="s">
        <v>24</v>
      </c>
      <c r="M666">
        <f ca="1">IF(ISBLANK(Table1[[#This Row],[Exit]]),DATEDIF(Table1[[#This Row],[Hire]],TODAY(),"Y"),DATEDIF(Table1[[#This Row],[Hire]],Table1[[#This Row],[Exit]],"Y"))</f>
        <v>5</v>
      </c>
      <c r="N666" t="str" cm="1">
        <f t="array" ref="N666">_xlfn.IFS(
AND(D666&gt;=26,D666&lt;=30),"26–30",
AND(D666&gt;=31,D666&lt;=35),"31–35",
AND(D666&gt;=36,D666&lt;=40),"36–40",
AND(D666&gt;=41,D666&lt;=45),"41–45",
AND(D666&gt;=46,D666&lt;=50),"46–50",
AND(D666&gt;=51,D666&lt;=60),"51–60")</f>
        <v>51–60</v>
      </c>
    </row>
    <row r="667" spans="1:14" x14ac:dyDescent="0.35">
      <c r="A667" t="s">
        <v>71</v>
      </c>
      <c r="B667" t="s">
        <v>1315</v>
      </c>
      <c r="C667" t="s">
        <v>21</v>
      </c>
      <c r="D667">
        <v>51</v>
      </c>
      <c r="E667" t="s">
        <v>31</v>
      </c>
      <c r="F667" t="s">
        <v>16</v>
      </c>
      <c r="G667" t="s">
        <v>53</v>
      </c>
      <c r="H667" s="1">
        <v>44815</v>
      </c>
      <c r="J667">
        <v>1338000</v>
      </c>
      <c r="K667">
        <v>0</v>
      </c>
      <c r="L667" t="s">
        <v>24</v>
      </c>
      <c r="M667">
        <f ca="1">IF(ISBLANK(Table1[[#This Row],[Exit]]),DATEDIF(Table1[[#This Row],[Hire]],TODAY(),"Y"),DATEDIF(Table1[[#This Row],[Hire]],Table1[[#This Row],[Exit]],"Y"))</f>
        <v>3</v>
      </c>
      <c r="N667" t="str" cm="1">
        <f t="array" ref="N667">_xlfn.IFS(
AND(D667&gt;=26,D667&lt;=30),"26–30",
AND(D667&gt;=31,D667&lt;=35),"31–35",
AND(D667&gt;=36,D667&lt;=40),"36–40",
AND(D667&gt;=41,D667&lt;=45),"41–45",
AND(D667&gt;=46,D667&lt;=50),"46–50",
AND(D667&gt;=51,D667&lt;=60),"51–60")</f>
        <v>51–60</v>
      </c>
    </row>
    <row r="668" spans="1:14" x14ac:dyDescent="0.35">
      <c r="A668" t="s">
        <v>1316</v>
      </c>
      <c r="B668" t="s">
        <v>1317</v>
      </c>
      <c r="C668" t="s">
        <v>21</v>
      </c>
      <c r="D668">
        <v>38</v>
      </c>
      <c r="E668" t="s">
        <v>81</v>
      </c>
      <c r="F668" t="s">
        <v>49</v>
      </c>
      <c r="G668" t="s">
        <v>34</v>
      </c>
      <c r="H668" s="1">
        <v>44857</v>
      </c>
      <c r="J668">
        <v>1340000</v>
      </c>
      <c r="K668">
        <v>0.1</v>
      </c>
      <c r="L668" t="s">
        <v>24</v>
      </c>
      <c r="M668">
        <f ca="1">IF(ISBLANK(Table1[[#This Row],[Exit]]),DATEDIF(Table1[[#This Row],[Hire]],TODAY(),"Y"),DATEDIF(Table1[[#This Row],[Hire]],Table1[[#This Row],[Exit]],"Y"))</f>
        <v>3</v>
      </c>
      <c r="N668" t="str" cm="1">
        <f t="array" ref="N668">_xlfn.IFS(
AND(D668&gt;=26,D668&lt;=30),"26–30",
AND(D668&gt;=31,D668&lt;=35),"31–35",
AND(D668&gt;=36,D668&lt;=40),"36–40",
AND(D668&gt;=41,D668&lt;=45),"41–45",
AND(D668&gt;=46,D668&lt;=50),"46–50",
AND(D668&gt;=51,D668&lt;=60),"51–60")</f>
        <v>36–40</v>
      </c>
    </row>
    <row r="669" spans="1:14" x14ac:dyDescent="0.35">
      <c r="A669" t="s">
        <v>1318</v>
      </c>
      <c r="B669" t="s">
        <v>1319</v>
      </c>
      <c r="C669" t="s">
        <v>14</v>
      </c>
      <c r="D669">
        <v>46</v>
      </c>
      <c r="E669" t="s">
        <v>92</v>
      </c>
      <c r="F669" t="s">
        <v>59</v>
      </c>
      <c r="G669" t="s">
        <v>53</v>
      </c>
      <c r="H669" s="1">
        <v>45527</v>
      </c>
      <c r="J669">
        <v>1342000</v>
      </c>
      <c r="K669">
        <v>0</v>
      </c>
      <c r="L669" t="s">
        <v>24</v>
      </c>
      <c r="M669">
        <f ca="1">IF(ISBLANK(Table1[[#This Row],[Exit]]),DATEDIF(Table1[[#This Row],[Hire]],TODAY(),"Y"),DATEDIF(Table1[[#This Row],[Hire]],Table1[[#This Row],[Exit]],"Y"))</f>
        <v>1</v>
      </c>
      <c r="N669" t="str" cm="1">
        <f t="array" ref="N669">_xlfn.IFS(
AND(D669&gt;=26,D669&lt;=30),"26–30",
AND(D669&gt;=31,D669&lt;=35),"31–35",
AND(D669&gt;=36,D669&lt;=40),"36–40",
AND(D669&gt;=41,D669&lt;=45),"41–45",
AND(D669&gt;=46,D669&lt;=50),"46–50",
AND(D669&gt;=51,D669&lt;=60),"51–60")</f>
        <v>46–50</v>
      </c>
    </row>
    <row r="670" spans="1:14" x14ac:dyDescent="0.35">
      <c r="A670" t="s">
        <v>1320</v>
      </c>
      <c r="B670" t="s">
        <v>1321</v>
      </c>
      <c r="C670" t="s">
        <v>41</v>
      </c>
      <c r="D670">
        <v>39</v>
      </c>
      <c r="E670" t="s">
        <v>81</v>
      </c>
      <c r="F670" t="s">
        <v>46</v>
      </c>
      <c r="G670" t="s">
        <v>23</v>
      </c>
      <c r="H670" s="1">
        <v>45237</v>
      </c>
      <c r="J670">
        <v>1344000</v>
      </c>
      <c r="K670">
        <v>0</v>
      </c>
      <c r="L670" t="s">
        <v>24</v>
      </c>
      <c r="M670">
        <f ca="1">IF(ISBLANK(Table1[[#This Row],[Exit]]),DATEDIF(Table1[[#This Row],[Hire]],TODAY(),"Y"),DATEDIF(Table1[[#This Row],[Hire]],Table1[[#This Row],[Exit]],"Y"))</f>
        <v>2</v>
      </c>
      <c r="N670" t="str" cm="1">
        <f t="array" ref="N670">_xlfn.IFS(
AND(D670&gt;=26,D670&lt;=30),"26–30",
AND(D670&gt;=31,D670&lt;=35),"31–35",
AND(D670&gt;=36,D670&lt;=40),"36–40",
AND(D670&gt;=41,D670&lt;=45),"41–45",
AND(D670&gt;=46,D670&lt;=50),"46–50",
AND(D670&gt;=51,D670&lt;=60),"51–60")</f>
        <v>36–40</v>
      </c>
    </row>
    <row r="671" spans="1:14" x14ac:dyDescent="0.35">
      <c r="A671" t="s">
        <v>1322</v>
      </c>
      <c r="B671" t="s">
        <v>1323</v>
      </c>
      <c r="C671" t="s">
        <v>14</v>
      </c>
      <c r="D671">
        <v>31</v>
      </c>
      <c r="E671" t="s">
        <v>22</v>
      </c>
      <c r="F671" t="s">
        <v>16</v>
      </c>
      <c r="G671" t="s">
        <v>34</v>
      </c>
      <c r="H671" s="1">
        <v>45206</v>
      </c>
      <c r="J671">
        <v>1346000</v>
      </c>
      <c r="K671">
        <v>0</v>
      </c>
      <c r="L671" t="s">
        <v>24</v>
      </c>
      <c r="M671">
        <f ca="1">IF(ISBLANK(Table1[[#This Row],[Exit]]),DATEDIF(Table1[[#This Row],[Hire]],TODAY(),"Y"),DATEDIF(Table1[[#This Row],[Hire]],Table1[[#This Row],[Exit]],"Y"))</f>
        <v>2</v>
      </c>
      <c r="N671" t="str" cm="1">
        <f t="array" ref="N671">_xlfn.IFS(
AND(D671&gt;=26,D671&lt;=30),"26–30",
AND(D671&gt;=31,D671&lt;=35),"31–35",
AND(D671&gt;=36,D671&lt;=40),"36–40",
AND(D671&gt;=41,D671&lt;=45),"41–45",
AND(D671&gt;=46,D671&lt;=50),"46–50",
AND(D671&gt;=51,D671&lt;=60),"51–60")</f>
        <v>31–35</v>
      </c>
    </row>
    <row r="672" spans="1:14" x14ac:dyDescent="0.35">
      <c r="A672" t="s">
        <v>1324</v>
      </c>
      <c r="B672" t="s">
        <v>1325</v>
      </c>
      <c r="C672" t="s">
        <v>21</v>
      </c>
      <c r="D672">
        <v>45</v>
      </c>
      <c r="E672" t="s">
        <v>92</v>
      </c>
      <c r="F672" t="s">
        <v>59</v>
      </c>
      <c r="G672" t="s">
        <v>34</v>
      </c>
      <c r="H672" s="1">
        <v>44677</v>
      </c>
      <c r="I672" s="1">
        <v>45440</v>
      </c>
      <c r="J672">
        <v>1348000</v>
      </c>
      <c r="K672">
        <v>0</v>
      </c>
      <c r="L672" t="s">
        <v>18</v>
      </c>
      <c r="M672">
        <f ca="1">IF(ISBLANK(Table1[[#This Row],[Exit]]),DATEDIF(Table1[[#This Row],[Hire]],TODAY(),"Y"),DATEDIF(Table1[[#This Row],[Hire]],Table1[[#This Row],[Exit]],"Y"))</f>
        <v>2</v>
      </c>
      <c r="N672" t="str" cm="1">
        <f t="array" ref="N672">_xlfn.IFS(
AND(D672&gt;=26,D672&lt;=30),"26–30",
AND(D672&gt;=31,D672&lt;=35),"31–35",
AND(D672&gt;=36,D672&lt;=40),"36–40",
AND(D672&gt;=41,D672&lt;=45),"41–45",
AND(D672&gt;=46,D672&lt;=50),"46–50",
AND(D672&gt;=51,D672&lt;=60),"51–60")</f>
        <v>41–45</v>
      </c>
    </row>
    <row r="673" spans="1:14" x14ac:dyDescent="0.35">
      <c r="A673" t="s">
        <v>1326</v>
      </c>
      <c r="B673" t="s">
        <v>1327</v>
      </c>
      <c r="C673" t="s">
        <v>41</v>
      </c>
      <c r="D673">
        <v>50</v>
      </c>
      <c r="E673" t="s">
        <v>31</v>
      </c>
      <c r="F673" t="s">
        <v>16</v>
      </c>
      <c r="G673" t="s">
        <v>17</v>
      </c>
      <c r="H673" s="1">
        <v>43889</v>
      </c>
      <c r="I673" s="1">
        <v>45206</v>
      </c>
      <c r="J673">
        <v>1350000</v>
      </c>
      <c r="K673">
        <v>0</v>
      </c>
      <c r="L673" t="s">
        <v>18</v>
      </c>
      <c r="M673">
        <f ca="1">IF(ISBLANK(Table1[[#This Row],[Exit]]),DATEDIF(Table1[[#This Row],[Hire]],TODAY(),"Y"),DATEDIF(Table1[[#This Row],[Hire]],Table1[[#This Row],[Exit]],"Y"))</f>
        <v>3</v>
      </c>
      <c r="N673" t="str" cm="1">
        <f t="array" ref="N673">_xlfn.IFS(
AND(D673&gt;=26,D673&lt;=30),"26–30",
AND(D673&gt;=31,D673&lt;=35),"31–35",
AND(D673&gt;=36,D673&lt;=40),"36–40",
AND(D673&gt;=41,D673&lt;=45),"41–45",
AND(D673&gt;=46,D673&lt;=50),"46–50",
AND(D673&gt;=51,D673&lt;=60),"51–60")</f>
        <v>46–50</v>
      </c>
    </row>
    <row r="674" spans="1:14" x14ac:dyDescent="0.35">
      <c r="A674" t="s">
        <v>1328</v>
      </c>
      <c r="B674" t="s">
        <v>1329</v>
      </c>
      <c r="C674" t="s">
        <v>14</v>
      </c>
      <c r="D674">
        <v>36</v>
      </c>
      <c r="E674" t="s">
        <v>15</v>
      </c>
      <c r="F674" t="s">
        <v>16</v>
      </c>
      <c r="G674" t="s">
        <v>17</v>
      </c>
      <c r="H674" s="1">
        <v>44116</v>
      </c>
      <c r="J674">
        <v>1352000</v>
      </c>
      <c r="K674">
        <v>0</v>
      </c>
      <c r="L674" t="s">
        <v>24</v>
      </c>
      <c r="M674">
        <f ca="1">IF(ISBLANK(Table1[[#This Row],[Exit]]),DATEDIF(Table1[[#This Row],[Hire]],TODAY(),"Y"),DATEDIF(Table1[[#This Row],[Hire]],Table1[[#This Row],[Exit]],"Y"))</f>
        <v>5</v>
      </c>
      <c r="N674" t="str" cm="1">
        <f t="array" ref="N674">_xlfn.IFS(
AND(D674&gt;=26,D674&lt;=30),"26–30",
AND(D674&gt;=31,D674&lt;=35),"31–35",
AND(D674&gt;=36,D674&lt;=40),"36–40",
AND(D674&gt;=41,D674&lt;=45),"41–45",
AND(D674&gt;=46,D674&lt;=50),"46–50",
AND(D674&gt;=51,D674&lt;=60),"51–60")</f>
        <v>36–40</v>
      </c>
    </row>
    <row r="675" spans="1:14" x14ac:dyDescent="0.35">
      <c r="A675" t="s">
        <v>1330</v>
      </c>
      <c r="B675" t="s">
        <v>1331</v>
      </c>
      <c r="C675" t="s">
        <v>21</v>
      </c>
      <c r="D675">
        <v>45</v>
      </c>
      <c r="E675" t="s">
        <v>22</v>
      </c>
      <c r="F675" t="s">
        <v>16</v>
      </c>
      <c r="G675" t="s">
        <v>23</v>
      </c>
      <c r="H675" s="1">
        <v>44588</v>
      </c>
      <c r="J675">
        <v>1354000</v>
      </c>
      <c r="K675">
        <v>0</v>
      </c>
      <c r="L675" t="s">
        <v>24</v>
      </c>
      <c r="M675">
        <f ca="1">IF(ISBLANK(Table1[[#This Row],[Exit]]),DATEDIF(Table1[[#This Row],[Hire]],TODAY(),"Y"),DATEDIF(Table1[[#This Row],[Hire]],Table1[[#This Row],[Exit]],"Y"))</f>
        <v>4</v>
      </c>
      <c r="N675" t="str" cm="1">
        <f t="array" ref="N675">_xlfn.IFS(
AND(D675&gt;=26,D675&lt;=30),"26–30",
AND(D675&gt;=31,D675&lt;=35),"31–35",
AND(D675&gt;=36,D675&lt;=40),"36–40",
AND(D675&gt;=41,D675&lt;=45),"41–45",
AND(D675&gt;=46,D675&lt;=50),"46–50",
AND(D675&gt;=51,D675&lt;=60),"51–60")</f>
        <v>41–45</v>
      </c>
    </row>
    <row r="676" spans="1:14" x14ac:dyDescent="0.35">
      <c r="A676" t="s">
        <v>73</v>
      </c>
      <c r="B676" t="s">
        <v>1332</v>
      </c>
      <c r="C676" t="s">
        <v>21</v>
      </c>
      <c r="D676">
        <v>51</v>
      </c>
      <c r="E676" t="s">
        <v>27</v>
      </c>
      <c r="F676" t="s">
        <v>28</v>
      </c>
      <c r="G676" t="s">
        <v>17</v>
      </c>
      <c r="H676" s="1">
        <v>45337</v>
      </c>
      <c r="J676">
        <v>1356000</v>
      </c>
      <c r="K676">
        <v>0</v>
      </c>
      <c r="L676" t="s">
        <v>24</v>
      </c>
      <c r="M676">
        <f ca="1">IF(ISBLANK(Table1[[#This Row],[Exit]]),DATEDIF(Table1[[#This Row],[Hire]],TODAY(),"Y"),DATEDIF(Table1[[#This Row],[Hire]],Table1[[#This Row],[Exit]],"Y"))</f>
        <v>1</v>
      </c>
      <c r="N676" t="str" cm="1">
        <f t="array" ref="N676">_xlfn.IFS(
AND(D676&gt;=26,D676&lt;=30),"26–30",
AND(D676&gt;=31,D676&lt;=35),"31–35",
AND(D676&gt;=36,D676&lt;=40),"36–40",
AND(D676&gt;=41,D676&lt;=45),"41–45",
AND(D676&gt;=46,D676&lt;=50),"46–50",
AND(D676&gt;=51,D676&lt;=60),"51–60")</f>
        <v>51–60</v>
      </c>
    </row>
    <row r="677" spans="1:14" x14ac:dyDescent="0.35">
      <c r="A677" t="s">
        <v>75</v>
      </c>
      <c r="B677" t="s">
        <v>1333</v>
      </c>
      <c r="C677" t="s">
        <v>21</v>
      </c>
      <c r="D677">
        <v>41</v>
      </c>
      <c r="E677" t="s">
        <v>31</v>
      </c>
      <c r="F677" t="s">
        <v>16</v>
      </c>
      <c r="G677" t="s">
        <v>23</v>
      </c>
      <c r="H677" s="1">
        <v>44602</v>
      </c>
      <c r="I677" s="1">
        <v>45440</v>
      </c>
      <c r="J677">
        <v>1358000</v>
      </c>
      <c r="K677">
        <v>0</v>
      </c>
      <c r="L677" t="s">
        <v>18</v>
      </c>
      <c r="M677">
        <f ca="1">IF(ISBLANK(Table1[[#This Row],[Exit]]),DATEDIF(Table1[[#This Row],[Hire]],TODAY(),"Y"),DATEDIF(Table1[[#This Row],[Hire]],Table1[[#This Row],[Exit]],"Y"))</f>
        <v>2</v>
      </c>
      <c r="N677" t="str" cm="1">
        <f t="array" ref="N677">_xlfn.IFS(
AND(D677&gt;=26,D677&lt;=30),"26–30",
AND(D677&gt;=31,D677&lt;=35),"31–35",
AND(D677&gt;=36,D677&lt;=40),"36–40",
AND(D677&gt;=41,D677&lt;=45),"41–45",
AND(D677&gt;=46,D677&lt;=50),"46–50",
AND(D677&gt;=51,D677&lt;=60),"51–60")</f>
        <v>41–45</v>
      </c>
    </row>
    <row r="678" spans="1:14" x14ac:dyDescent="0.35">
      <c r="A678" t="s">
        <v>1334</v>
      </c>
      <c r="B678" t="s">
        <v>1335</v>
      </c>
      <c r="C678" t="s">
        <v>21</v>
      </c>
      <c r="D678">
        <v>47</v>
      </c>
      <c r="E678" t="s">
        <v>27</v>
      </c>
      <c r="F678" t="s">
        <v>28</v>
      </c>
      <c r="G678" t="s">
        <v>34</v>
      </c>
      <c r="H678" s="1">
        <v>44183</v>
      </c>
      <c r="J678">
        <v>1360000</v>
      </c>
      <c r="K678">
        <v>0</v>
      </c>
      <c r="L678" t="s">
        <v>24</v>
      </c>
      <c r="M678">
        <f ca="1">IF(ISBLANK(Table1[[#This Row],[Exit]]),DATEDIF(Table1[[#This Row],[Hire]],TODAY(),"Y"),DATEDIF(Table1[[#This Row],[Hire]],Table1[[#This Row],[Exit]],"Y"))</f>
        <v>5</v>
      </c>
      <c r="N678" t="str" cm="1">
        <f t="array" ref="N678">_xlfn.IFS(
AND(D678&gt;=26,D678&lt;=30),"26–30",
AND(D678&gt;=31,D678&lt;=35),"31–35",
AND(D678&gt;=36,D678&lt;=40),"36–40",
AND(D678&gt;=41,D678&lt;=45),"41–45",
AND(D678&gt;=46,D678&lt;=50),"46–50",
AND(D678&gt;=51,D678&lt;=60),"51–60")</f>
        <v>46–50</v>
      </c>
    </row>
    <row r="679" spans="1:14" x14ac:dyDescent="0.35">
      <c r="A679" t="s">
        <v>77</v>
      </c>
      <c r="B679" t="s">
        <v>1336</v>
      </c>
      <c r="C679" t="s">
        <v>14</v>
      </c>
      <c r="D679">
        <v>38</v>
      </c>
      <c r="E679" t="s">
        <v>15</v>
      </c>
      <c r="F679" t="s">
        <v>16</v>
      </c>
      <c r="G679" t="s">
        <v>23</v>
      </c>
      <c r="H679" s="1">
        <v>43837</v>
      </c>
      <c r="J679">
        <v>1362000</v>
      </c>
      <c r="K679">
        <v>0</v>
      </c>
      <c r="L679" t="s">
        <v>24</v>
      </c>
      <c r="M679">
        <f ca="1">IF(ISBLANK(Table1[[#This Row],[Exit]]),DATEDIF(Table1[[#This Row],[Hire]],TODAY(),"Y"),DATEDIF(Table1[[#This Row],[Hire]],Table1[[#This Row],[Exit]],"Y"))</f>
        <v>6</v>
      </c>
      <c r="N679" t="str" cm="1">
        <f t="array" ref="N679">_xlfn.IFS(
AND(D679&gt;=26,D679&lt;=30),"26–30",
AND(D679&gt;=31,D679&lt;=35),"31–35",
AND(D679&gt;=36,D679&lt;=40),"36–40",
AND(D679&gt;=41,D679&lt;=45),"41–45",
AND(D679&gt;=46,D679&lt;=50),"46–50",
AND(D679&gt;=51,D679&lt;=60),"51–60")</f>
        <v>36–40</v>
      </c>
    </row>
    <row r="680" spans="1:14" x14ac:dyDescent="0.35">
      <c r="A680" t="s">
        <v>1337</v>
      </c>
      <c r="B680" t="s">
        <v>1338</v>
      </c>
      <c r="C680" t="s">
        <v>21</v>
      </c>
      <c r="D680">
        <v>40</v>
      </c>
      <c r="E680" t="s">
        <v>15</v>
      </c>
      <c r="F680" t="s">
        <v>16</v>
      </c>
      <c r="G680" t="s">
        <v>34</v>
      </c>
      <c r="H680" s="1">
        <v>45206</v>
      </c>
      <c r="J680">
        <v>1364000</v>
      </c>
      <c r="K680">
        <v>0</v>
      </c>
      <c r="L680" t="s">
        <v>24</v>
      </c>
      <c r="M680">
        <f ca="1">IF(ISBLANK(Table1[[#This Row],[Exit]]),DATEDIF(Table1[[#This Row],[Hire]],TODAY(),"Y"),DATEDIF(Table1[[#This Row],[Hire]],Table1[[#This Row],[Exit]],"Y"))</f>
        <v>2</v>
      </c>
      <c r="N680" t="str" cm="1">
        <f t="array" ref="N680">_xlfn.IFS(
AND(D680&gt;=26,D680&lt;=30),"26–30",
AND(D680&gt;=31,D680&lt;=35),"31–35",
AND(D680&gt;=36,D680&lt;=40),"36–40",
AND(D680&gt;=41,D680&lt;=45),"41–45",
AND(D680&gt;=46,D680&lt;=50),"46–50",
AND(D680&gt;=51,D680&lt;=60),"51–60")</f>
        <v>36–40</v>
      </c>
    </row>
    <row r="681" spans="1:14" x14ac:dyDescent="0.35">
      <c r="A681" t="s">
        <v>1339</v>
      </c>
      <c r="B681" t="s">
        <v>1340</v>
      </c>
      <c r="C681" t="s">
        <v>14</v>
      </c>
      <c r="D681">
        <v>45</v>
      </c>
      <c r="E681" t="s">
        <v>42</v>
      </c>
      <c r="F681" t="s">
        <v>43</v>
      </c>
      <c r="G681" t="s">
        <v>34</v>
      </c>
      <c r="H681" s="1">
        <v>44487</v>
      </c>
      <c r="J681">
        <v>1366000</v>
      </c>
      <c r="K681">
        <v>0</v>
      </c>
      <c r="L681" t="s">
        <v>24</v>
      </c>
      <c r="M681">
        <f ca="1">IF(ISBLANK(Table1[[#This Row],[Exit]]),DATEDIF(Table1[[#This Row],[Hire]],TODAY(),"Y"),DATEDIF(Table1[[#This Row],[Hire]],Table1[[#This Row],[Exit]],"Y"))</f>
        <v>4</v>
      </c>
      <c r="N681" t="str" cm="1">
        <f t="array" ref="N681">_xlfn.IFS(
AND(D681&gt;=26,D681&lt;=30),"26–30",
AND(D681&gt;=31,D681&lt;=35),"31–35",
AND(D681&gt;=36,D681&lt;=40),"36–40",
AND(D681&gt;=41,D681&lt;=45),"41–45",
AND(D681&gt;=46,D681&lt;=50),"46–50",
AND(D681&gt;=51,D681&lt;=60),"51–60")</f>
        <v>41–45</v>
      </c>
    </row>
    <row r="682" spans="1:14" x14ac:dyDescent="0.35">
      <c r="A682" t="s">
        <v>1341</v>
      </c>
      <c r="B682" t="s">
        <v>1342</v>
      </c>
      <c r="C682" t="s">
        <v>14</v>
      </c>
      <c r="D682">
        <v>26</v>
      </c>
      <c r="E682" t="s">
        <v>42</v>
      </c>
      <c r="F682" t="s">
        <v>46</v>
      </c>
      <c r="G682" t="s">
        <v>23</v>
      </c>
      <c r="H682" s="1">
        <v>44061</v>
      </c>
      <c r="I682" s="1">
        <v>44564</v>
      </c>
      <c r="J682">
        <v>1368000</v>
      </c>
      <c r="K682">
        <v>0.06</v>
      </c>
      <c r="L682" t="s">
        <v>18</v>
      </c>
      <c r="M682">
        <f ca="1">IF(ISBLANK(Table1[[#This Row],[Exit]]),DATEDIF(Table1[[#This Row],[Hire]],TODAY(),"Y"),DATEDIF(Table1[[#This Row],[Hire]],Table1[[#This Row],[Exit]],"Y"))</f>
        <v>1</v>
      </c>
      <c r="N682" t="str" cm="1">
        <f t="array" ref="N682">_xlfn.IFS(
AND(D682&gt;=26,D682&lt;=30),"26–30",
AND(D682&gt;=31,D682&lt;=35),"31–35",
AND(D682&gt;=36,D682&lt;=40),"36–40",
AND(D682&gt;=41,D682&lt;=45),"41–45",
AND(D682&gt;=46,D682&lt;=50),"46–50",
AND(D682&gt;=51,D682&lt;=60),"51–60")</f>
        <v>26–30</v>
      </c>
    </row>
    <row r="683" spans="1:14" x14ac:dyDescent="0.35">
      <c r="A683" t="s">
        <v>1343</v>
      </c>
      <c r="B683" t="s">
        <v>1344</v>
      </c>
      <c r="C683" t="s">
        <v>14</v>
      </c>
      <c r="D683">
        <v>35</v>
      </c>
      <c r="E683" t="s">
        <v>42</v>
      </c>
      <c r="F683" t="s">
        <v>49</v>
      </c>
      <c r="G683" t="s">
        <v>17</v>
      </c>
      <c r="H683" s="1">
        <v>44344</v>
      </c>
      <c r="I683" s="1">
        <v>45074</v>
      </c>
      <c r="J683">
        <v>1370000</v>
      </c>
      <c r="K683">
        <v>0.05</v>
      </c>
      <c r="L683" t="s">
        <v>18</v>
      </c>
      <c r="M683">
        <f ca="1">IF(ISBLANK(Table1[[#This Row],[Exit]]),DATEDIF(Table1[[#This Row],[Hire]],TODAY(),"Y"),DATEDIF(Table1[[#This Row],[Hire]],Table1[[#This Row],[Exit]],"Y"))</f>
        <v>2</v>
      </c>
      <c r="N683" t="str" cm="1">
        <f t="array" ref="N683">_xlfn.IFS(
AND(D683&gt;=26,D683&lt;=30),"26–30",
AND(D683&gt;=31,D683&lt;=35),"31–35",
AND(D683&gt;=36,D683&lt;=40),"36–40",
AND(D683&gt;=41,D683&lt;=45),"41–45",
AND(D683&gt;=46,D683&lt;=50),"46–50",
AND(D683&gt;=51,D683&lt;=60),"51–60")</f>
        <v>31–35</v>
      </c>
    </row>
    <row r="684" spans="1:14" x14ac:dyDescent="0.35">
      <c r="A684" t="s">
        <v>404</v>
      </c>
      <c r="B684" t="s">
        <v>1345</v>
      </c>
      <c r="C684" t="s">
        <v>355</v>
      </c>
      <c r="D684">
        <v>29</v>
      </c>
      <c r="E684" t="s">
        <v>52</v>
      </c>
      <c r="F684" t="s">
        <v>16</v>
      </c>
      <c r="G684" t="s">
        <v>53</v>
      </c>
      <c r="H684" s="1">
        <v>44811</v>
      </c>
      <c r="I684" s="1">
        <v>45245</v>
      </c>
      <c r="J684">
        <v>1372000</v>
      </c>
      <c r="K684">
        <v>0</v>
      </c>
      <c r="L684" t="s">
        <v>18</v>
      </c>
      <c r="M684">
        <f ca="1">IF(ISBLANK(Table1[[#This Row],[Exit]]),DATEDIF(Table1[[#This Row],[Hire]],TODAY(),"Y"),DATEDIF(Table1[[#This Row],[Hire]],Table1[[#This Row],[Exit]],"Y"))</f>
        <v>1</v>
      </c>
      <c r="N684" t="str" cm="1">
        <f t="array" ref="N684">_xlfn.IFS(
AND(D684&gt;=26,D684&lt;=30),"26–30",
AND(D684&gt;=31,D684&lt;=35),"31–35",
AND(D684&gt;=36,D684&lt;=40),"36–40",
AND(D684&gt;=41,D684&lt;=45),"41–45",
AND(D684&gt;=46,D684&lt;=50),"46–50",
AND(D684&gt;=51,D684&lt;=60),"51–60")</f>
        <v>26–30</v>
      </c>
    </row>
    <row r="685" spans="1:14" x14ac:dyDescent="0.35">
      <c r="A685" t="s">
        <v>1346</v>
      </c>
      <c r="B685" t="s">
        <v>1347</v>
      </c>
      <c r="C685" t="s">
        <v>14</v>
      </c>
      <c r="D685">
        <v>35</v>
      </c>
      <c r="E685" t="s">
        <v>42</v>
      </c>
      <c r="F685" t="s">
        <v>46</v>
      </c>
      <c r="G685" t="s">
        <v>53</v>
      </c>
      <c r="H685" s="1">
        <v>43833</v>
      </c>
      <c r="I685" s="1">
        <v>45312</v>
      </c>
      <c r="J685">
        <v>1374000</v>
      </c>
      <c r="K685">
        <v>0.13</v>
      </c>
      <c r="L685" t="s">
        <v>18</v>
      </c>
      <c r="M685">
        <f ca="1">IF(ISBLANK(Table1[[#This Row],[Exit]]),DATEDIF(Table1[[#This Row],[Hire]],TODAY(),"Y"),DATEDIF(Table1[[#This Row],[Hire]],Table1[[#This Row],[Exit]],"Y"))</f>
        <v>4</v>
      </c>
      <c r="N685" t="str" cm="1">
        <f t="array" ref="N685">_xlfn.IFS(
AND(D685&gt;=26,D685&lt;=30),"26–30",
AND(D685&gt;=31,D685&lt;=35),"31–35",
AND(D685&gt;=36,D685&lt;=40),"36–40",
AND(D685&gt;=41,D685&lt;=45),"41–45",
AND(D685&gt;=46,D685&lt;=50),"46–50",
AND(D685&gt;=51,D685&lt;=60),"51–60")</f>
        <v>31–35</v>
      </c>
    </row>
    <row r="686" spans="1:14" x14ac:dyDescent="0.35">
      <c r="A686" t="s">
        <v>1348</v>
      </c>
      <c r="B686" t="s">
        <v>1349</v>
      </c>
      <c r="C686" t="s">
        <v>21</v>
      </c>
      <c r="D686">
        <v>51</v>
      </c>
      <c r="E686" t="s">
        <v>58</v>
      </c>
      <c r="F686" t="s">
        <v>59</v>
      </c>
      <c r="G686" t="s">
        <v>34</v>
      </c>
      <c r="H686" s="1">
        <v>45074</v>
      </c>
      <c r="J686">
        <v>1376000</v>
      </c>
      <c r="K686">
        <v>0.2</v>
      </c>
      <c r="L686" t="s">
        <v>24</v>
      </c>
      <c r="M686">
        <f ca="1">IF(ISBLANK(Table1[[#This Row],[Exit]]),DATEDIF(Table1[[#This Row],[Hire]],TODAY(),"Y"),DATEDIF(Table1[[#This Row],[Hire]],Table1[[#This Row],[Exit]],"Y"))</f>
        <v>2</v>
      </c>
      <c r="N686" t="str" cm="1">
        <f t="array" ref="N686">_xlfn.IFS(
AND(D686&gt;=26,D686&lt;=30),"26–30",
AND(D686&gt;=31,D686&lt;=35),"31–35",
AND(D686&gt;=36,D686&lt;=40),"36–40",
AND(D686&gt;=41,D686&lt;=45),"41–45",
AND(D686&gt;=46,D686&lt;=50),"46–50",
AND(D686&gt;=51,D686&lt;=60),"51–60")</f>
        <v>51–60</v>
      </c>
    </row>
    <row r="687" spans="1:14" x14ac:dyDescent="0.35">
      <c r="A687" t="s">
        <v>1350</v>
      </c>
      <c r="B687" t="s">
        <v>1351</v>
      </c>
      <c r="C687" t="s">
        <v>14</v>
      </c>
      <c r="D687">
        <v>46</v>
      </c>
      <c r="E687" t="s">
        <v>52</v>
      </c>
      <c r="F687" t="s">
        <v>16</v>
      </c>
      <c r="G687" t="s">
        <v>23</v>
      </c>
      <c r="H687" s="1">
        <v>45245</v>
      </c>
      <c r="J687">
        <v>1378000</v>
      </c>
      <c r="K687">
        <v>0</v>
      </c>
      <c r="L687" t="s">
        <v>24</v>
      </c>
      <c r="M687">
        <f ca="1">IF(ISBLANK(Table1[[#This Row],[Exit]]),DATEDIF(Table1[[#This Row],[Hire]],TODAY(),"Y"),DATEDIF(Table1[[#This Row],[Hire]],Table1[[#This Row],[Exit]],"Y"))</f>
        <v>2</v>
      </c>
      <c r="N687" t="str" cm="1">
        <f t="array" ref="N687">_xlfn.IFS(
AND(D687&gt;=26,D687&lt;=30),"26–30",
AND(D687&gt;=31,D687&lt;=35),"31–35",
AND(D687&gt;=36,D687&lt;=40),"36–40",
AND(D687&gt;=41,D687&lt;=45),"41–45",
AND(D687&gt;=46,D687&lt;=50),"46–50",
AND(D687&gt;=51,D687&lt;=60),"51–60")</f>
        <v>46–50</v>
      </c>
    </row>
    <row r="688" spans="1:14" x14ac:dyDescent="0.35">
      <c r="A688" t="s">
        <v>1352</v>
      </c>
      <c r="B688" t="s">
        <v>1353</v>
      </c>
      <c r="C688" t="s">
        <v>21</v>
      </c>
      <c r="D688">
        <v>51</v>
      </c>
      <c r="E688" t="s">
        <v>52</v>
      </c>
      <c r="F688" t="s">
        <v>16</v>
      </c>
      <c r="G688" t="s">
        <v>34</v>
      </c>
      <c r="H688" s="1">
        <v>43851</v>
      </c>
      <c r="J688">
        <v>1380000</v>
      </c>
      <c r="K688">
        <v>0</v>
      </c>
      <c r="L688" t="s">
        <v>24</v>
      </c>
      <c r="M688">
        <f ca="1">IF(ISBLANK(Table1[[#This Row],[Exit]]),DATEDIF(Table1[[#This Row],[Hire]],TODAY(),"Y"),DATEDIF(Table1[[#This Row],[Hire]],Table1[[#This Row],[Exit]],"Y"))</f>
        <v>6</v>
      </c>
      <c r="N688" t="str" cm="1">
        <f t="array" ref="N688">_xlfn.IFS(
AND(D688&gt;=26,D688&lt;=30),"26–30",
AND(D688&gt;=31,D688&lt;=35),"31–35",
AND(D688&gt;=36,D688&lt;=40),"36–40",
AND(D688&gt;=41,D688&lt;=45),"41–45",
AND(D688&gt;=46,D688&lt;=50),"46–50",
AND(D688&gt;=51,D688&lt;=60),"51–60")</f>
        <v>51–60</v>
      </c>
    </row>
    <row r="689" spans="1:14" x14ac:dyDescent="0.35">
      <c r="A689" t="s">
        <v>1354</v>
      </c>
      <c r="B689" t="s">
        <v>1355</v>
      </c>
      <c r="C689" t="s">
        <v>14</v>
      </c>
      <c r="D689">
        <v>46</v>
      </c>
      <c r="E689" t="s">
        <v>66</v>
      </c>
      <c r="F689" t="s">
        <v>16</v>
      </c>
      <c r="G689" t="s">
        <v>17</v>
      </c>
      <c r="H689" s="1">
        <v>45206</v>
      </c>
      <c r="J689">
        <v>1382000</v>
      </c>
      <c r="K689">
        <v>0</v>
      </c>
      <c r="L689" t="s">
        <v>24</v>
      </c>
      <c r="M689">
        <f ca="1">IF(ISBLANK(Table1[[#This Row],[Exit]]),DATEDIF(Table1[[#This Row],[Hire]],TODAY(),"Y"),DATEDIF(Table1[[#This Row],[Hire]],Table1[[#This Row],[Exit]],"Y"))</f>
        <v>2</v>
      </c>
      <c r="N689" t="str" cm="1">
        <f t="array" ref="N689">_xlfn.IFS(
AND(D689&gt;=26,D689&lt;=30),"26–30",
AND(D689&gt;=31,D689&lt;=35),"31–35",
AND(D689&gt;=36,D689&lt;=40),"36–40",
AND(D689&gt;=41,D689&lt;=45),"41–45",
AND(D689&gt;=46,D689&lt;=50),"46–50",
AND(D689&gt;=51,D689&lt;=60),"51–60")</f>
        <v>46–50</v>
      </c>
    </row>
    <row r="690" spans="1:14" x14ac:dyDescent="0.35">
      <c r="A690" t="s">
        <v>374</v>
      </c>
      <c r="B690" t="s">
        <v>1356</v>
      </c>
      <c r="C690" t="s">
        <v>21</v>
      </c>
      <c r="D690">
        <v>36</v>
      </c>
      <c r="E690" t="s">
        <v>58</v>
      </c>
      <c r="F690" t="s">
        <v>59</v>
      </c>
      <c r="G690" t="s">
        <v>23</v>
      </c>
      <c r="H690" s="1">
        <v>45401</v>
      </c>
      <c r="J690">
        <v>1384000</v>
      </c>
      <c r="K690">
        <v>0</v>
      </c>
      <c r="L690" t="s">
        <v>24</v>
      </c>
      <c r="M690">
        <f ca="1">IF(ISBLANK(Table1[[#This Row],[Exit]]),DATEDIF(Table1[[#This Row],[Hire]],TODAY(),"Y"),DATEDIF(Table1[[#This Row],[Hire]],Table1[[#This Row],[Exit]],"Y"))</f>
        <v>1</v>
      </c>
      <c r="N690" t="str" cm="1">
        <f t="array" ref="N690">_xlfn.IFS(
AND(D690&gt;=26,D690&lt;=30),"26–30",
AND(D690&gt;=31,D690&lt;=35),"31–35",
AND(D690&gt;=36,D690&lt;=40),"36–40",
AND(D690&gt;=41,D690&lt;=45),"41–45",
AND(D690&gt;=46,D690&lt;=50),"46–50",
AND(D690&gt;=51,D690&lt;=60),"51–60")</f>
        <v>36–40</v>
      </c>
    </row>
    <row r="691" spans="1:14" x14ac:dyDescent="0.35">
      <c r="A691" t="s">
        <v>1357</v>
      </c>
      <c r="B691" t="s">
        <v>1358</v>
      </c>
      <c r="C691" t="s">
        <v>21</v>
      </c>
      <c r="D691">
        <v>45</v>
      </c>
      <c r="E691" t="s">
        <v>66</v>
      </c>
      <c r="F691" t="s">
        <v>16</v>
      </c>
      <c r="G691" t="s">
        <v>34</v>
      </c>
      <c r="H691" s="1">
        <v>44083</v>
      </c>
      <c r="J691">
        <v>1386000</v>
      </c>
      <c r="K691">
        <v>0.09</v>
      </c>
      <c r="L691" t="s">
        <v>24</v>
      </c>
      <c r="M691">
        <f ca="1">IF(ISBLANK(Table1[[#This Row],[Exit]]),DATEDIF(Table1[[#This Row],[Hire]],TODAY(),"Y"),DATEDIF(Table1[[#This Row],[Hire]],Table1[[#This Row],[Exit]],"Y"))</f>
        <v>5</v>
      </c>
      <c r="N691" t="str" cm="1">
        <f t="array" ref="N691">_xlfn.IFS(
AND(D691&gt;=26,D691&lt;=30),"26–30",
AND(D691&gt;=31,D691&lt;=35),"31–35",
AND(D691&gt;=36,D691&lt;=40),"36–40",
AND(D691&gt;=41,D691&lt;=45),"41–45",
AND(D691&gt;=46,D691&lt;=50),"46–50",
AND(D691&gt;=51,D691&lt;=60),"51–60")</f>
        <v>41–45</v>
      </c>
    </row>
    <row r="692" spans="1:14" x14ac:dyDescent="0.35">
      <c r="A692" t="s">
        <v>1359</v>
      </c>
      <c r="B692" t="s">
        <v>1360</v>
      </c>
      <c r="C692" t="s">
        <v>41</v>
      </c>
      <c r="D692">
        <v>37</v>
      </c>
      <c r="E692" t="s">
        <v>66</v>
      </c>
      <c r="F692" t="s">
        <v>16</v>
      </c>
      <c r="G692" t="s">
        <v>53</v>
      </c>
      <c r="H692" s="1">
        <v>45233</v>
      </c>
      <c r="J692">
        <v>1388000</v>
      </c>
      <c r="K692">
        <v>0</v>
      </c>
      <c r="L692" t="s">
        <v>24</v>
      </c>
      <c r="M692">
        <f ca="1">IF(ISBLANK(Table1[[#This Row],[Exit]]),DATEDIF(Table1[[#This Row],[Hire]],TODAY(),"Y"),DATEDIF(Table1[[#This Row],[Hire]],Table1[[#This Row],[Exit]],"Y"))</f>
        <v>2</v>
      </c>
      <c r="N692" t="str" cm="1">
        <f t="array" ref="N692">_xlfn.IFS(
AND(D692&gt;=26,D692&lt;=30),"26–30",
AND(D692&gt;=31,D692&lt;=35),"31–35",
AND(D692&gt;=36,D692&lt;=40),"36–40",
AND(D692&gt;=41,D692&lt;=45),"41–45",
AND(D692&gt;=46,D692&lt;=50),"46–50",
AND(D692&gt;=51,D692&lt;=60),"51–60")</f>
        <v>36–40</v>
      </c>
    </row>
    <row r="693" spans="1:14" x14ac:dyDescent="0.35">
      <c r="A693" t="s">
        <v>93</v>
      </c>
      <c r="B693" t="s">
        <v>1361</v>
      </c>
      <c r="C693" t="s">
        <v>21</v>
      </c>
      <c r="D693">
        <v>51</v>
      </c>
      <c r="E693" t="s">
        <v>66</v>
      </c>
      <c r="F693" t="s">
        <v>49</v>
      </c>
      <c r="G693" t="s">
        <v>17</v>
      </c>
      <c r="H693" s="1">
        <v>45440</v>
      </c>
      <c r="J693">
        <v>1390000</v>
      </c>
      <c r="K693">
        <v>0.15</v>
      </c>
      <c r="L693" t="s">
        <v>24</v>
      </c>
      <c r="M693">
        <f ca="1">IF(ISBLANK(Table1[[#This Row],[Exit]]),DATEDIF(Table1[[#This Row],[Hire]],TODAY(),"Y"),DATEDIF(Table1[[#This Row],[Hire]],Table1[[#This Row],[Exit]],"Y"))</f>
        <v>1</v>
      </c>
      <c r="N693" t="str" cm="1">
        <f t="array" ref="N693">_xlfn.IFS(
AND(D693&gt;=26,D693&lt;=30),"26–30",
AND(D693&gt;=31,D693&lt;=35),"31–35",
AND(D693&gt;=36,D693&lt;=40),"36–40",
AND(D693&gt;=41,D693&lt;=45),"41–45",
AND(D693&gt;=46,D693&lt;=50),"46–50",
AND(D693&gt;=51,D693&lt;=60),"51–60")</f>
        <v>51–60</v>
      </c>
    </row>
    <row r="694" spans="1:14" x14ac:dyDescent="0.35">
      <c r="A694" t="s">
        <v>1362</v>
      </c>
      <c r="B694" t="s">
        <v>1363</v>
      </c>
      <c r="C694" t="s">
        <v>14</v>
      </c>
      <c r="D694">
        <v>56</v>
      </c>
      <c r="E694" t="s">
        <v>58</v>
      </c>
      <c r="F694" t="s">
        <v>16</v>
      </c>
      <c r="G694" t="s">
        <v>53</v>
      </c>
      <c r="H694" s="1">
        <v>44811</v>
      </c>
      <c r="J694">
        <v>1392000</v>
      </c>
      <c r="K694">
        <v>0</v>
      </c>
      <c r="L694" t="s">
        <v>24</v>
      </c>
      <c r="M694">
        <f ca="1">IF(ISBLANK(Table1[[#This Row],[Exit]]),DATEDIF(Table1[[#This Row],[Hire]],TODAY(),"Y"),DATEDIF(Table1[[#This Row],[Hire]],Table1[[#This Row],[Exit]],"Y"))</f>
        <v>3</v>
      </c>
      <c r="N694" t="str" cm="1">
        <f t="array" ref="N694">_xlfn.IFS(
AND(D694&gt;=26,D694&lt;=30),"26–30",
AND(D694&gt;=31,D694&lt;=35),"31–35",
AND(D694&gt;=36,D694&lt;=40),"36–40",
AND(D694&gt;=41,D694&lt;=45),"41–45",
AND(D694&gt;=46,D694&lt;=50),"46–50",
AND(D694&gt;=51,D694&lt;=60),"51–60")</f>
        <v>51–60</v>
      </c>
    </row>
    <row r="695" spans="1:14" x14ac:dyDescent="0.35">
      <c r="A695" t="s">
        <v>1364</v>
      </c>
      <c r="B695" t="s">
        <v>1365</v>
      </c>
      <c r="C695" t="s">
        <v>41</v>
      </c>
      <c r="D695">
        <v>53</v>
      </c>
      <c r="E695" t="s">
        <v>15</v>
      </c>
      <c r="F695" t="s">
        <v>46</v>
      </c>
      <c r="G695" t="s">
        <v>53</v>
      </c>
      <c r="H695" s="1">
        <v>44564</v>
      </c>
      <c r="I695" s="1">
        <v>45206</v>
      </c>
      <c r="J695">
        <v>1394000</v>
      </c>
      <c r="K695">
        <v>0.26</v>
      </c>
      <c r="L695" t="s">
        <v>18</v>
      </c>
      <c r="M695">
        <f ca="1">IF(ISBLANK(Table1[[#This Row],[Exit]]),DATEDIF(Table1[[#This Row],[Hire]],TODAY(),"Y"),DATEDIF(Table1[[#This Row],[Hire]],Table1[[#This Row],[Exit]],"Y"))</f>
        <v>1</v>
      </c>
      <c r="N695" t="str" cm="1">
        <f t="array" ref="N695">_xlfn.IFS(
AND(D695&gt;=26,D695&lt;=30),"26–30",
AND(D695&gt;=31,D695&lt;=35),"31–35",
AND(D695&gt;=36,D695&lt;=40),"36–40",
AND(D695&gt;=41,D695&lt;=45),"41–45",
AND(D695&gt;=46,D695&lt;=50),"46–50",
AND(D695&gt;=51,D695&lt;=60),"51–60")</f>
        <v>51–60</v>
      </c>
    </row>
    <row r="696" spans="1:14" x14ac:dyDescent="0.35">
      <c r="A696" t="s">
        <v>1366</v>
      </c>
      <c r="B696" t="s">
        <v>1367</v>
      </c>
      <c r="C696" t="s">
        <v>14</v>
      </c>
      <c r="D696">
        <v>47</v>
      </c>
      <c r="E696" t="s">
        <v>22</v>
      </c>
      <c r="F696" t="s">
        <v>59</v>
      </c>
      <c r="G696" t="s">
        <v>34</v>
      </c>
      <c r="H696" s="1">
        <v>45074</v>
      </c>
      <c r="J696">
        <v>1396000</v>
      </c>
      <c r="K696">
        <v>0</v>
      </c>
      <c r="L696" t="s">
        <v>24</v>
      </c>
      <c r="M696">
        <f ca="1">IF(ISBLANK(Table1[[#This Row],[Exit]]),DATEDIF(Table1[[#This Row],[Hire]],TODAY(),"Y"),DATEDIF(Table1[[#This Row],[Hire]],Table1[[#This Row],[Exit]],"Y"))</f>
        <v>2</v>
      </c>
      <c r="N696" t="str" cm="1">
        <f t="array" ref="N696">_xlfn.IFS(
AND(D696&gt;=26,D696&lt;=30),"26–30",
AND(D696&gt;=31,D696&lt;=35),"31–35",
AND(D696&gt;=36,D696&lt;=40),"36–40",
AND(D696&gt;=41,D696&lt;=45),"41–45",
AND(D696&gt;=46,D696&lt;=50),"46–50",
AND(D696&gt;=51,D696&lt;=60),"51–60")</f>
        <v>46–50</v>
      </c>
    </row>
    <row r="697" spans="1:14" x14ac:dyDescent="0.35">
      <c r="A697" t="s">
        <v>1368</v>
      </c>
      <c r="B697" t="s">
        <v>1369</v>
      </c>
      <c r="C697" t="s">
        <v>21</v>
      </c>
      <c r="D697">
        <v>36</v>
      </c>
      <c r="E697" t="s">
        <v>81</v>
      </c>
      <c r="F697" t="s">
        <v>16</v>
      </c>
      <c r="G697" t="s">
        <v>23</v>
      </c>
      <c r="H697" s="1">
        <v>45245</v>
      </c>
      <c r="J697">
        <v>1398000</v>
      </c>
      <c r="K697">
        <v>0.12</v>
      </c>
      <c r="L697" t="s">
        <v>24</v>
      </c>
      <c r="M697">
        <f ca="1">IF(ISBLANK(Table1[[#This Row],[Exit]]),DATEDIF(Table1[[#This Row],[Hire]],TODAY(),"Y"),DATEDIF(Table1[[#This Row],[Hire]],Table1[[#This Row],[Exit]],"Y"))</f>
        <v>2</v>
      </c>
      <c r="N697" t="str" cm="1">
        <f t="array" ref="N697">_xlfn.IFS(
AND(D697&gt;=26,D697&lt;=30),"26–30",
AND(D697&gt;=31,D697&lt;=35),"31–35",
AND(D697&gt;=36,D697&lt;=40),"36–40",
AND(D697&gt;=41,D697&lt;=45),"41–45",
AND(D697&gt;=46,D697&lt;=50),"46–50",
AND(D697&gt;=51,D697&lt;=60),"51–60")</f>
        <v>36–40</v>
      </c>
    </row>
    <row r="698" spans="1:14" x14ac:dyDescent="0.35">
      <c r="A698" t="s">
        <v>448</v>
      </c>
      <c r="B698" t="s">
        <v>1370</v>
      </c>
      <c r="C698" t="s">
        <v>41</v>
      </c>
      <c r="D698">
        <v>41</v>
      </c>
      <c r="E698" t="s">
        <v>52</v>
      </c>
      <c r="F698" t="s">
        <v>16</v>
      </c>
      <c r="G698" t="s">
        <v>34</v>
      </c>
      <c r="H698" s="1">
        <v>43851</v>
      </c>
      <c r="J698">
        <v>1400000</v>
      </c>
      <c r="K698">
        <v>0</v>
      </c>
      <c r="L698" t="s">
        <v>24</v>
      </c>
      <c r="M698">
        <f ca="1">IF(ISBLANK(Table1[[#This Row],[Exit]]),DATEDIF(Table1[[#This Row],[Hire]],TODAY(),"Y"),DATEDIF(Table1[[#This Row],[Hire]],Table1[[#This Row],[Exit]],"Y"))</f>
        <v>6</v>
      </c>
      <c r="N698" t="str" cm="1">
        <f t="array" ref="N698">_xlfn.IFS(
AND(D698&gt;=26,D698&lt;=30),"26–30",
AND(D698&gt;=31,D698&lt;=35),"31–35",
AND(D698&gt;=36,D698&lt;=40),"36–40",
AND(D698&gt;=41,D698&lt;=45),"41–45",
AND(D698&gt;=46,D698&lt;=50),"46–50",
AND(D698&gt;=51,D698&lt;=60),"51–60")</f>
        <v>41–45</v>
      </c>
    </row>
    <row r="699" spans="1:14" x14ac:dyDescent="0.35">
      <c r="A699" t="s">
        <v>1371</v>
      </c>
      <c r="B699" t="s">
        <v>1372</v>
      </c>
      <c r="C699" t="s">
        <v>14</v>
      </c>
      <c r="D699">
        <v>46</v>
      </c>
      <c r="E699" t="s">
        <v>66</v>
      </c>
      <c r="F699" t="s">
        <v>16</v>
      </c>
      <c r="G699" t="s">
        <v>17</v>
      </c>
      <c r="H699" s="1">
        <v>45206</v>
      </c>
      <c r="J699">
        <v>1402000</v>
      </c>
      <c r="K699">
        <v>0</v>
      </c>
      <c r="L699" t="s">
        <v>24</v>
      </c>
      <c r="M699">
        <f ca="1">IF(ISBLANK(Table1[[#This Row],[Exit]]),DATEDIF(Table1[[#This Row],[Hire]],TODAY(),"Y"),DATEDIF(Table1[[#This Row],[Hire]],Table1[[#This Row],[Exit]],"Y"))</f>
        <v>2</v>
      </c>
      <c r="N699" t="str" cm="1">
        <f t="array" ref="N699">_xlfn.IFS(
AND(D699&gt;=26,D699&lt;=30),"26–30",
AND(D699&gt;=31,D699&lt;=35),"31–35",
AND(D699&gt;=36,D699&lt;=40),"36–40",
AND(D699&gt;=41,D699&lt;=45),"41–45",
AND(D699&gt;=46,D699&lt;=50),"46–50",
AND(D699&gt;=51,D699&lt;=60),"51–60")</f>
        <v>46–50</v>
      </c>
    </row>
    <row r="700" spans="1:14" x14ac:dyDescent="0.35">
      <c r="A700" t="s">
        <v>1373</v>
      </c>
      <c r="B700" t="s">
        <v>1374</v>
      </c>
      <c r="C700" t="s">
        <v>21</v>
      </c>
      <c r="D700">
        <v>51</v>
      </c>
      <c r="E700" t="s">
        <v>31</v>
      </c>
      <c r="F700" t="s">
        <v>59</v>
      </c>
      <c r="G700" t="s">
        <v>23</v>
      </c>
      <c r="H700" s="1">
        <v>45401</v>
      </c>
      <c r="J700">
        <v>1404000</v>
      </c>
      <c r="K700">
        <v>0</v>
      </c>
      <c r="L700" t="s">
        <v>24</v>
      </c>
      <c r="M700">
        <f ca="1">IF(ISBLANK(Table1[[#This Row],[Exit]]),DATEDIF(Table1[[#This Row],[Hire]],TODAY(),"Y"),DATEDIF(Table1[[#This Row],[Hire]],Table1[[#This Row],[Exit]],"Y"))</f>
        <v>1</v>
      </c>
      <c r="N700" t="str" cm="1">
        <f t="array" ref="N700">_xlfn.IFS(
AND(D700&gt;=26,D700&lt;=30),"26–30",
AND(D700&gt;=31,D700&lt;=35),"31–35",
AND(D700&gt;=36,D700&lt;=40),"36–40",
AND(D700&gt;=41,D700&lt;=45),"41–45",
AND(D700&gt;=46,D700&lt;=50),"46–50",
AND(D700&gt;=51,D700&lt;=60),"51–60")</f>
        <v>51–60</v>
      </c>
    </row>
    <row r="701" spans="1:14" x14ac:dyDescent="0.35">
      <c r="A701" t="s">
        <v>1375</v>
      </c>
      <c r="B701" t="s">
        <v>1376</v>
      </c>
      <c r="C701" t="s">
        <v>21</v>
      </c>
      <c r="D701">
        <v>38</v>
      </c>
      <c r="E701" t="s">
        <v>81</v>
      </c>
      <c r="F701" t="s">
        <v>16</v>
      </c>
      <c r="G701" t="s">
        <v>34</v>
      </c>
      <c r="H701" s="1">
        <v>44083</v>
      </c>
      <c r="J701">
        <v>1406000</v>
      </c>
      <c r="K701">
        <v>0.08</v>
      </c>
      <c r="L701" t="s">
        <v>24</v>
      </c>
      <c r="M701">
        <f ca="1">IF(ISBLANK(Table1[[#This Row],[Exit]]),DATEDIF(Table1[[#This Row],[Hire]],TODAY(),"Y"),DATEDIF(Table1[[#This Row],[Hire]],Table1[[#This Row],[Exit]],"Y"))</f>
        <v>5</v>
      </c>
      <c r="N701" t="str" cm="1">
        <f t="array" ref="N701">_xlfn.IFS(
AND(D701&gt;=26,D701&lt;=30),"26–30",
AND(D701&gt;=31,D701&lt;=35),"31–35",
AND(D701&gt;=36,D701&lt;=40),"36–40",
AND(D701&gt;=41,D701&lt;=45),"41–45",
AND(D701&gt;=46,D701&lt;=50),"46–50",
AND(D701&gt;=51,D701&lt;=60),"51–60")</f>
        <v>36–40</v>
      </c>
    </row>
    <row r="702" spans="1:14" x14ac:dyDescent="0.35">
      <c r="A702" t="s">
        <v>1320</v>
      </c>
      <c r="B702" t="s">
        <v>1377</v>
      </c>
      <c r="C702" t="s">
        <v>21</v>
      </c>
      <c r="D702">
        <v>51</v>
      </c>
      <c r="E702" t="s">
        <v>92</v>
      </c>
      <c r="F702" t="s">
        <v>16</v>
      </c>
      <c r="G702" t="s">
        <v>53</v>
      </c>
      <c r="H702" s="1">
        <v>45233</v>
      </c>
      <c r="J702">
        <v>1408000</v>
      </c>
      <c r="K702">
        <v>0</v>
      </c>
      <c r="L702" t="s">
        <v>24</v>
      </c>
      <c r="M702">
        <f ca="1">IF(ISBLANK(Table1[[#This Row],[Exit]]),DATEDIF(Table1[[#This Row],[Hire]],TODAY(),"Y"),DATEDIF(Table1[[#This Row],[Hire]],Table1[[#This Row],[Exit]],"Y"))</f>
        <v>2</v>
      </c>
      <c r="N702" t="str" cm="1">
        <f t="array" ref="N702">_xlfn.IFS(
AND(D702&gt;=26,D702&lt;=30),"26–30",
AND(D702&gt;=31,D702&lt;=35),"31–35",
AND(D702&gt;=36,D702&lt;=40),"36–40",
AND(D702&gt;=41,D702&lt;=45),"41–45",
AND(D702&gt;=46,D702&lt;=50),"46–50",
AND(D702&gt;=51,D702&lt;=60),"51–60")</f>
        <v>51–60</v>
      </c>
    </row>
    <row r="703" spans="1:14" x14ac:dyDescent="0.35">
      <c r="A703" t="s">
        <v>1378</v>
      </c>
      <c r="B703" t="s">
        <v>1379</v>
      </c>
      <c r="C703" t="s">
        <v>21</v>
      </c>
      <c r="D703">
        <v>39</v>
      </c>
      <c r="E703" t="s">
        <v>81</v>
      </c>
      <c r="F703" t="s">
        <v>59</v>
      </c>
      <c r="G703" t="s">
        <v>53</v>
      </c>
      <c r="H703" s="1">
        <v>45412</v>
      </c>
      <c r="J703">
        <v>154892</v>
      </c>
      <c r="K703">
        <v>7.0000000000000007E-2</v>
      </c>
      <c r="L703" t="s">
        <v>24</v>
      </c>
      <c r="M703">
        <f ca="1">IF(ISBLANK(Table1[[#This Row],[Exit]]),DATEDIF(Table1[[#This Row],[Hire]],TODAY(),"Y"),DATEDIF(Table1[[#This Row],[Hire]],Table1[[#This Row],[Exit]],"Y"))</f>
        <v>1</v>
      </c>
      <c r="N703" t="str" cm="1">
        <f t="array" ref="N703">_xlfn.IFS(
AND(D703&gt;=26,D703&lt;=30),"26–30",
AND(D703&gt;=31,D703&lt;=35),"31–35",
AND(D703&gt;=36,D703&lt;=40),"36–40",
AND(D703&gt;=41,D703&lt;=45),"41–45",
AND(D703&gt;=46,D703&lt;=50),"46–50",
AND(D703&gt;=51,D703&lt;=60),"51–60")</f>
        <v>36–40</v>
      </c>
    </row>
    <row r="704" spans="1:14" x14ac:dyDescent="0.35">
      <c r="A704" t="s">
        <v>1380</v>
      </c>
      <c r="B704" t="s">
        <v>1381</v>
      </c>
      <c r="C704" t="s">
        <v>14</v>
      </c>
      <c r="D704">
        <v>31</v>
      </c>
      <c r="E704" t="s">
        <v>22</v>
      </c>
      <c r="F704" t="s">
        <v>16</v>
      </c>
      <c r="G704" t="s">
        <v>53</v>
      </c>
      <c r="H704" s="1">
        <v>43887</v>
      </c>
      <c r="J704">
        <v>243879</v>
      </c>
      <c r="K704">
        <v>7.0000000000000007E-2</v>
      </c>
      <c r="L704" t="s">
        <v>24</v>
      </c>
      <c r="M704">
        <f ca="1">IF(ISBLANK(Table1[[#This Row],[Exit]]),DATEDIF(Table1[[#This Row],[Hire]],TODAY(),"Y"),DATEDIF(Table1[[#This Row],[Hire]],Table1[[#This Row],[Exit]],"Y"))</f>
        <v>5</v>
      </c>
      <c r="N704" t="str" cm="1">
        <f t="array" ref="N704">_xlfn.IFS(
AND(D704&gt;=26,D704&lt;=30),"26–30",
AND(D704&gt;=31,D704&lt;=35),"31–35",
AND(D704&gt;=36,D704&lt;=40),"36–40",
AND(D704&gt;=41,D704&lt;=45),"41–45",
AND(D704&gt;=46,D704&lt;=50),"46–50",
AND(D704&gt;=51,D704&lt;=60),"51–60")</f>
        <v>31–35</v>
      </c>
    </row>
    <row r="705" spans="1:14" x14ac:dyDescent="0.35">
      <c r="A705" t="s">
        <v>1382</v>
      </c>
      <c r="B705" t="s">
        <v>1383</v>
      </c>
      <c r="C705" t="s">
        <v>21</v>
      </c>
      <c r="D705">
        <v>45</v>
      </c>
      <c r="E705" t="s">
        <v>92</v>
      </c>
      <c r="F705" t="s">
        <v>16</v>
      </c>
      <c r="G705" t="s">
        <v>53</v>
      </c>
      <c r="H705" s="1">
        <v>44815</v>
      </c>
      <c r="J705">
        <v>271490</v>
      </c>
      <c r="K705">
        <v>0</v>
      </c>
      <c r="L705" t="s">
        <v>24</v>
      </c>
      <c r="M705">
        <f ca="1">IF(ISBLANK(Table1[[#This Row],[Exit]]),DATEDIF(Table1[[#This Row],[Hire]],TODAY(),"Y"),DATEDIF(Table1[[#This Row],[Hire]],Table1[[#This Row],[Exit]],"Y"))</f>
        <v>3</v>
      </c>
      <c r="N705" t="str" cm="1">
        <f t="array" ref="N705">_xlfn.IFS(
AND(D705&gt;=26,D705&lt;=30),"26–30",
AND(D705&gt;=31,D705&lt;=35),"31–35",
AND(D705&gt;=36,D705&lt;=40),"36–40",
AND(D705&gt;=41,D705&lt;=45),"41–45",
AND(D705&gt;=46,D705&lt;=50),"46–50",
AND(D705&gt;=51,D705&lt;=60),"51–60")</f>
        <v>41–45</v>
      </c>
    </row>
    <row r="706" spans="1:14" x14ac:dyDescent="0.35">
      <c r="A706" t="s">
        <v>1384</v>
      </c>
      <c r="B706" t="s">
        <v>1385</v>
      </c>
      <c r="C706" t="s">
        <v>14</v>
      </c>
      <c r="D706">
        <v>50</v>
      </c>
      <c r="E706" t="s">
        <v>31</v>
      </c>
      <c r="F706" t="s">
        <v>43</v>
      </c>
      <c r="G706" t="s">
        <v>53</v>
      </c>
      <c r="H706" s="1">
        <v>45430</v>
      </c>
      <c r="J706">
        <v>284760</v>
      </c>
      <c r="K706">
        <v>0.12</v>
      </c>
      <c r="L706" t="s">
        <v>24</v>
      </c>
      <c r="M706">
        <f ca="1">IF(ISBLANK(Table1[[#This Row],[Exit]]),DATEDIF(Table1[[#This Row],[Hire]],TODAY(),"Y"),DATEDIF(Table1[[#This Row],[Hire]],Table1[[#This Row],[Exit]],"Y"))</f>
        <v>1</v>
      </c>
      <c r="N706" t="str" cm="1">
        <f t="array" ref="N706">_xlfn.IFS(
AND(D706&gt;=26,D706&lt;=30),"26–30",
AND(D706&gt;=31,D706&lt;=35),"31–35",
AND(D706&gt;=36,D706&lt;=40),"36–40",
AND(D706&gt;=41,D706&lt;=45),"41–45",
AND(D706&gt;=46,D706&lt;=50),"46–50",
AND(D706&gt;=51,D706&lt;=60),"51–60")</f>
        <v>46–50</v>
      </c>
    </row>
    <row r="707" spans="1:14" x14ac:dyDescent="0.35">
      <c r="A707" t="s">
        <v>1386</v>
      </c>
      <c r="B707" t="s">
        <v>1387</v>
      </c>
      <c r="C707" t="s">
        <v>14</v>
      </c>
      <c r="D707">
        <v>36</v>
      </c>
      <c r="E707" t="s">
        <v>15</v>
      </c>
      <c r="F707" t="s">
        <v>16</v>
      </c>
      <c r="G707" t="s">
        <v>17</v>
      </c>
      <c r="H707" s="1">
        <v>44509</v>
      </c>
      <c r="J707">
        <v>519382</v>
      </c>
      <c r="K707">
        <v>0</v>
      </c>
      <c r="L707" t="s">
        <v>24</v>
      </c>
      <c r="M707">
        <f ca="1">IF(ISBLANK(Table1[[#This Row],[Exit]]),DATEDIF(Table1[[#This Row],[Hire]],TODAY(),"Y"),DATEDIF(Table1[[#This Row],[Hire]],Table1[[#This Row],[Exit]],"Y"))</f>
        <v>4</v>
      </c>
      <c r="N707" t="str" cm="1">
        <f t="array" ref="N707">_xlfn.IFS(
AND(D707&gt;=26,D707&lt;=30),"26–30",
AND(D707&gt;=31,D707&lt;=35),"31–35",
AND(D707&gt;=36,D707&lt;=40),"36–40",
AND(D707&gt;=41,D707&lt;=45),"41–45",
AND(D707&gt;=46,D707&lt;=50),"46–50",
AND(D707&gt;=51,D707&lt;=60),"51–60")</f>
        <v>36–40</v>
      </c>
    </row>
    <row r="708" spans="1:14" x14ac:dyDescent="0.35">
      <c r="A708" t="s">
        <v>1388</v>
      </c>
      <c r="B708" t="s">
        <v>1389</v>
      </c>
      <c r="C708" t="s">
        <v>14</v>
      </c>
      <c r="D708">
        <v>45</v>
      </c>
      <c r="E708" t="s">
        <v>22</v>
      </c>
      <c r="F708" t="s">
        <v>16</v>
      </c>
      <c r="G708" t="s">
        <v>23</v>
      </c>
      <c r="H708" s="1">
        <v>43963</v>
      </c>
      <c r="J708">
        <v>371296</v>
      </c>
      <c r="K708">
        <v>0.26</v>
      </c>
      <c r="L708" t="s">
        <v>24</v>
      </c>
      <c r="M708">
        <f ca="1">IF(ISBLANK(Table1[[#This Row],[Exit]]),DATEDIF(Table1[[#This Row],[Hire]],TODAY(),"Y"),DATEDIF(Table1[[#This Row],[Hire]],Table1[[#This Row],[Exit]],"Y"))</f>
        <v>5</v>
      </c>
      <c r="N708" t="str" cm="1">
        <f t="array" ref="N708">_xlfn.IFS(
AND(D708&gt;=26,D708&lt;=30),"26–30",
AND(D708&gt;=31,D708&lt;=35),"31–35",
AND(D708&gt;=36,D708&lt;=40),"36–40",
AND(D708&gt;=41,D708&lt;=45),"41–45",
AND(D708&gt;=46,D708&lt;=50),"46–50",
AND(D708&gt;=51,D708&lt;=60),"51–60")</f>
        <v>41–45</v>
      </c>
    </row>
    <row r="709" spans="1:14" x14ac:dyDescent="0.35">
      <c r="A709" t="s">
        <v>1390</v>
      </c>
      <c r="B709" t="s">
        <v>1391</v>
      </c>
      <c r="C709" t="s">
        <v>14</v>
      </c>
      <c r="D709">
        <v>46</v>
      </c>
      <c r="E709" t="s">
        <v>27</v>
      </c>
      <c r="F709" t="s">
        <v>16</v>
      </c>
      <c r="G709" t="s">
        <v>53</v>
      </c>
      <c r="H709" s="1">
        <v>44815</v>
      </c>
      <c r="J709">
        <v>275439</v>
      </c>
      <c r="K709">
        <v>0.13</v>
      </c>
      <c r="L709" t="s">
        <v>24</v>
      </c>
      <c r="M709">
        <f ca="1">IF(ISBLANK(Table1[[#This Row],[Exit]]),DATEDIF(Table1[[#This Row],[Hire]],TODAY(),"Y"),DATEDIF(Table1[[#This Row],[Hire]],Table1[[#This Row],[Exit]],"Y"))</f>
        <v>3</v>
      </c>
      <c r="N709" t="str" cm="1">
        <f t="array" ref="N709">_xlfn.IFS(
AND(D709&gt;=26,D709&lt;=30),"26–30",
AND(D709&gt;=31,D709&lt;=35),"31–35",
AND(D709&gt;=36,D709&lt;=40),"36–40",
AND(D709&gt;=41,D709&lt;=45),"41–45",
AND(D709&gt;=46,D709&lt;=50),"46–50",
AND(D709&gt;=51,D709&lt;=60),"51–60")</f>
        <v>46–50</v>
      </c>
    </row>
    <row r="710" spans="1:14" x14ac:dyDescent="0.35">
      <c r="A710" t="s">
        <v>1392</v>
      </c>
      <c r="B710" t="s">
        <v>1393</v>
      </c>
      <c r="C710" t="s">
        <v>21</v>
      </c>
      <c r="D710">
        <v>41</v>
      </c>
      <c r="E710" t="s">
        <v>31</v>
      </c>
      <c r="F710" t="s">
        <v>49</v>
      </c>
      <c r="G710" t="s">
        <v>34</v>
      </c>
      <c r="H710" s="1">
        <v>44857</v>
      </c>
      <c r="J710">
        <v>318902</v>
      </c>
      <c r="K710">
        <v>0</v>
      </c>
      <c r="L710" t="s">
        <v>24</v>
      </c>
      <c r="M710">
        <f ca="1">IF(ISBLANK(Table1[[#This Row],[Exit]]),DATEDIF(Table1[[#This Row],[Hire]],TODAY(),"Y"),DATEDIF(Table1[[#This Row],[Hire]],Table1[[#This Row],[Exit]],"Y"))</f>
        <v>3</v>
      </c>
      <c r="N710" t="str" cm="1">
        <f t="array" ref="N710">_xlfn.IFS(
AND(D710&gt;=26,D710&lt;=30),"26–30",
AND(D710&gt;=31,D710&lt;=35),"31–35",
AND(D710&gt;=36,D710&lt;=40),"36–40",
AND(D710&gt;=41,D710&lt;=45),"41–45",
AND(D710&gt;=46,D710&lt;=50),"46–50",
AND(D710&gt;=51,D710&lt;=60),"51–60")</f>
        <v>41–45</v>
      </c>
    </row>
    <row r="711" spans="1:14" x14ac:dyDescent="0.35">
      <c r="A711" t="s">
        <v>1394</v>
      </c>
      <c r="B711" t="s">
        <v>1395</v>
      </c>
      <c r="C711" t="s">
        <v>14</v>
      </c>
      <c r="D711">
        <v>47</v>
      </c>
      <c r="E711" t="s">
        <v>27</v>
      </c>
      <c r="F711" t="s">
        <v>59</v>
      </c>
      <c r="G711" t="s">
        <v>53</v>
      </c>
      <c r="H711" s="1">
        <v>45527</v>
      </c>
      <c r="J711">
        <v>364982</v>
      </c>
      <c r="K711">
        <v>0</v>
      </c>
      <c r="L711" t="s">
        <v>24</v>
      </c>
      <c r="M711">
        <f ca="1">IF(ISBLANK(Table1[[#This Row],[Exit]]),DATEDIF(Table1[[#This Row],[Hire]],TODAY(),"Y"),DATEDIF(Table1[[#This Row],[Hire]],Table1[[#This Row],[Exit]],"Y"))</f>
        <v>1</v>
      </c>
      <c r="N711" t="str" cm="1">
        <f t="array" ref="N711">_xlfn.IFS(
AND(D711&gt;=26,D711&lt;=30),"26–30",
AND(D711&gt;=31,D711&lt;=35),"31–35",
AND(D711&gt;=36,D711&lt;=40),"36–40",
AND(D711&gt;=41,D711&lt;=45),"41–45",
AND(D711&gt;=46,D711&lt;=50),"46–50",
AND(D711&gt;=51,D711&lt;=60),"51–60")</f>
        <v>46–50</v>
      </c>
    </row>
    <row r="712" spans="1:14" x14ac:dyDescent="0.35">
      <c r="A712" t="s">
        <v>1396</v>
      </c>
      <c r="B712" t="s">
        <v>1397</v>
      </c>
      <c r="C712" t="s">
        <v>21</v>
      </c>
      <c r="D712">
        <v>38</v>
      </c>
      <c r="E712" t="s">
        <v>15</v>
      </c>
      <c r="F712" t="s">
        <v>46</v>
      </c>
      <c r="G712" t="s">
        <v>23</v>
      </c>
      <c r="H712" s="1">
        <v>45237</v>
      </c>
      <c r="I712" s="1">
        <v>45401</v>
      </c>
      <c r="J712">
        <v>251398</v>
      </c>
      <c r="K712">
        <v>0.08</v>
      </c>
      <c r="L712" t="s">
        <v>18</v>
      </c>
      <c r="M712">
        <f ca="1">IF(ISBLANK(Table1[[#This Row],[Exit]]),DATEDIF(Table1[[#This Row],[Hire]],TODAY(),"Y"),DATEDIF(Table1[[#This Row],[Hire]],Table1[[#This Row],[Exit]],"Y"))</f>
        <v>0</v>
      </c>
      <c r="N712" t="str" cm="1">
        <f t="array" ref="N712">_xlfn.IFS(
AND(D712&gt;=26,D712&lt;=30),"26–30",
AND(D712&gt;=31,D712&lt;=35),"31–35",
AND(D712&gt;=36,D712&lt;=40),"36–40",
AND(D712&gt;=41,D712&lt;=45),"41–45",
AND(D712&gt;=46,D712&lt;=50),"46–50",
AND(D712&gt;=51,D712&lt;=60),"51–60")</f>
        <v>36–40</v>
      </c>
    </row>
    <row r="713" spans="1:14" x14ac:dyDescent="0.35">
      <c r="A713" t="s">
        <v>1398</v>
      </c>
      <c r="B713" t="s">
        <v>1399</v>
      </c>
      <c r="C713" t="s">
        <v>14</v>
      </c>
      <c r="D713">
        <v>40</v>
      </c>
      <c r="E713" t="s">
        <v>15</v>
      </c>
      <c r="F713" t="s">
        <v>16</v>
      </c>
      <c r="G713" t="s">
        <v>34</v>
      </c>
      <c r="H713" s="1">
        <v>45206</v>
      </c>
      <c r="J713">
        <v>195478</v>
      </c>
      <c r="K713">
        <v>0</v>
      </c>
      <c r="L713" t="s">
        <v>24</v>
      </c>
      <c r="M713">
        <f ca="1">IF(ISBLANK(Table1[[#This Row],[Exit]]),DATEDIF(Table1[[#This Row],[Hire]],TODAY(),"Y"),DATEDIF(Table1[[#This Row],[Hire]],Table1[[#This Row],[Exit]],"Y"))</f>
        <v>2</v>
      </c>
      <c r="N713" t="str" cm="1">
        <f t="array" ref="N713">_xlfn.IFS(
AND(D713&gt;=26,D713&lt;=30),"26–30",
AND(D713&gt;=31,D713&lt;=35),"31–35",
AND(D713&gt;=36,D713&lt;=40),"36–40",
AND(D713&gt;=41,D713&lt;=45),"41–45",
AND(D713&gt;=46,D713&lt;=50),"46–50",
AND(D713&gt;=51,D713&lt;=60),"51–60")</f>
        <v>36–40</v>
      </c>
    </row>
    <row r="714" spans="1:14" x14ac:dyDescent="0.35">
      <c r="A714" t="s">
        <v>1400</v>
      </c>
      <c r="B714" t="s">
        <v>1401</v>
      </c>
      <c r="C714" t="s">
        <v>21</v>
      </c>
      <c r="D714">
        <v>45</v>
      </c>
      <c r="E714" t="s">
        <v>42</v>
      </c>
      <c r="F714" t="s">
        <v>59</v>
      </c>
      <c r="G714" t="s">
        <v>34</v>
      </c>
      <c r="H714" s="1">
        <v>44677</v>
      </c>
      <c r="J714">
        <v>367920</v>
      </c>
      <c r="K714">
        <v>0.1</v>
      </c>
      <c r="L714" t="s">
        <v>24</v>
      </c>
      <c r="M714">
        <f ca="1">IF(ISBLANK(Table1[[#This Row],[Exit]]),DATEDIF(Table1[[#This Row],[Hire]],TODAY(),"Y"),DATEDIF(Table1[[#This Row],[Hire]],Table1[[#This Row],[Exit]],"Y"))</f>
        <v>3</v>
      </c>
      <c r="N714" t="str" cm="1">
        <f t="array" ref="N714">_xlfn.IFS(
AND(D714&gt;=26,D714&lt;=30),"26–30",
AND(D714&gt;=31,D714&lt;=35),"31–35",
AND(D714&gt;=36,D714&lt;=40),"36–40",
AND(D714&gt;=41,D714&lt;=45),"41–45",
AND(D714&gt;=46,D714&lt;=50),"46–50",
AND(D714&gt;=51,D714&lt;=60),"51–60")</f>
        <v>41–45</v>
      </c>
    </row>
    <row r="715" spans="1:14" x14ac:dyDescent="0.35">
      <c r="A715" t="s">
        <v>1198</v>
      </c>
      <c r="B715" t="s">
        <v>1402</v>
      </c>
      <c r="C715" t="s">
        <v>21</v>
      </c>
      <c r="D715">
        <v>26</v>
      </c>
      <c r="E715" t="s">
        <v>42</v>
      </c>
      <c r="F715" t="s">
        <v>16</v>
      </c>
      <c r="G715" t="s">
        <v>17</v>
      </c>
      <c r="H715" s="1">
        <v>43889</v>
      </c>
      <c r="I715" s="1">
        <v>44815</v>
      </c>
      <c r="J715">
        <v>295274</v>
      </c>
      <c r="K715">
        <v>0</v>
      </c>
      <c r="L715" t="s">
        <v>18</v>
      </c>
      <c r="M715">
        <f ca="1">IF(ISBLANK(Table1[[#This Row],[Exit]]),DATEDIF(Table1[[#This Row],[Hire]],TODAY(),"Y"),DATEDIF(Table1[[#This Row],[Hire]],Table1[[#This Row],[Exit]],"Y"))</f>
        <v>2</v>
      </c>
      <c r="N715" t="str" cm="1">
        <f t="array" ref="N715">_xlfn.IFS(
AND(D715&gt;=26,D715&lt;=30),"26–30",
AND(D715&gt;=31,D715&lt;=35),"31–35",
AND(D715&gt;=36,D715&lt;=40),"36–40",
AND(D715&gt;=41,D715&lt;=45),"41–45",
AND(D715&gt;=46,D715&lt;=50),"46–50",
AND(D715&gt;=51,D715&lt;=60),"51–60")</f>
        <v>26–30</v>
      </c>
    </row>
    <row r="716" spans="1:14" x14ac:dyDescent="0.35">
      <c r="A716" t="s">
        <v>1403</v>
      </c>
      <c r="B716" t="s">
        <v>1404</v>
      </c>
      <c r="C716" t="s">
        <v>41</v>
      </c>
      <c r="D716">
        <v>35</v>
      </c>
      <c r="E716" t="s">
        <v>42</v>
      </c>
      <c r="F716" t="s">
        <v>16</v>
      </c>
      <c r="G716" t="s">
        <v>17</v>
      </c>
      <c r="H716" s="1">
        <v>44116</v>
      </c>
      <c r="J716">
        <v>358972</v>
      </c>
      <c r="K716">
        <v>0</v>
      </c>
      <c r="L716" t="s">
        <v>24</v>
      </c>
      <c r="M716">
        <f ca="1">IF(ISBLANK(Table1[[#This Row],[Exit]]),DATEDIF(Table1[[#This Row],[Hire]],TODAY(),"Y"),DATEDIF(Table1[[#This Row],[Hire]],Table1[[#This Row],[Exit]],"Y"))</f>
        <v>5</v>
      </c>
      <c r="N716" t="str" cm="1">
        <f t="array" ref="N716">_xlfn.IFS(
AND(D716&gt;=26,D716&lt;=30),"26–30",
AND(D716&gt;=31,D716&lt;=35),"31–35",
AND(D716&gt;=36,D716&lt;=40),"36–40",
AND(D716&gt;=41,D716&lt;=45),"41–45",
AND(D716&gt;=46,D716&lt;=50),"46–50",
AND(D716&gt;=51,D716&lt;=60),"51–60")</f>
        <v>31–35</v>
      </c>
    </row>
    <row r="717" spans="1:14" x14ac:dyDescent="0.35">
      <c r="A717" t="s">
        <v>1405</v>
      </c>
      <c r="B717" t="s">
        <v>1406</v>
      </c>
      <c r="C717" t="s">
        <v>14</v>
      </c>
      <c r="D717">
        <v>51</v>
      </c>
      <c r="E717" t="s">
        <v>52</v>
      </c>
      <c r="F717" t="s">
        <v>16</v>
      </c>
      <c r="G717" t="s">
        <v>23</v>
      </c>
      <c r="H717" s="1">
        <v>44588</v>
      </c>
      <c r="J717">
        <v>310294</v>
      </c>
      <c r="K717">
        <v>0</v>
      </c>
      <c r="L717" t="s">
        <v>24</v>
      </c>
      <c r="M717">
        <f ca="1">IF(ISBLANK(Table1[[#This Row],[Exit]]),DATEDIF(Table1[[#This Row],[Hire]],TODAY(),"Y"),DATEDIF(Table1[[#This Row],[Hire]],Table1[[#This Row],[Exit]],"Y"))</f>
        <v>4</v>
      </c>
      <c r="N717" t="str" cm="1">
        <f t="array" ref="N717">_xlfn.IFS(
AND(D717&gt;=26,D717&lt;=30),"26–30",
AND(D717&gt;=31,D717&lt;=35),"31–35",
AND(D717&gt;=36,D717&lt;=40),"36–40",
AND(D717&gt;=41,D717&lt;=45),"41–45",
AND(D717&gt;=46,D717&lt;=50),"46–50",
AND(D717&gt;=51,D717&lt;=60),"51–60")</f>
        <v>51–60</v>
      </c>
    </row>
    <row r="718" spans="1:14" x14ac:dyDescent="0.35">
      <c r="A718" t="s">
        <v>1407</v>
      </c>
      <c r="B718" t="s">
        <v>1408</v>
      </c>
      <c r="C718" t="s">
        <v>41</v>
      </c>
      <c r="D718">
        <v>35</v>
      </c>
      <c r="E718" t="s">
        <v>42</v>
      </c>
      <c r="F718" t="s">
        <v>28</v>
      </c>
      <c r="G718" t="s">
        <v>17</v>
      </c>
      <c r="H718" s="1">
        <v>45337</v>
      </c>
      <c r="J718">
        <v>375480</v>
      </c>
      <c r="K718">
        <v>0</v>
      </c>
      <c r="L718" t="s">
        <v>24</v>
      </c>
      <c r="M718">
        <f ca="1">IF(ISBLANK(Table1[[#This Row],[Exit]]),DATEDIF(Table1[[#This Row],[Hire]],TODAY(),"Y"),DATEDIF(Table1[[#This Row],[Hire]],Table1[[#This Row],[Exit]],"Y"))</f>
        <v>1</v>
      </c>
      <c r="N718" t="str" cm="1">
        <f t="array" ref="N718">_xlfn.IFS(
AND(D718&gt;=26,D718&lt;=30),"26–30",
AND(D718&gt;=31,D718&lt;=35),"31–35",
AND(D718&gt;=36,D718&lt;=40),"36–40",
AND(D718&gt;=41,D718&lt;=45),"41–45",
AND(D718&gt;=46,D718&lt;=50),"46–50",
AND(D718&gt;=51,D718&lt;=60),"51–60")</f>
        <v>31–35</v>
      </c>
    </row>
    <row r="719" spans="1:14" x14ac:dyDescent="0.35">
      <c r="A719" t="s">
        <v>1409</v>
      </c>
      <c r="B719" t="s">
        <v>1410</v>
      </c>
      <c r="C719" t="s">
        <v>14</v>
      </c>
      <c r="D719">
        <v>51</v>
      </c>
      <c r="E719" t="s">
        <v>58</v>
      </c>
      <c r="F719" t="s">
        <v>16</v>
      </c>
      <c r="G719" t="s">
        <v>23</v>
      </c>
      <c r="H719" s="1">
        <v>45332</v>
      </c>
      <c r="J719">
        <v>253972</v>
      </c>
      <c r="K719">
        <v>0</v>
      </c>
      <c r="L719" t="s">
        <v>24</v>
      </c>
      <c r="M719">
        <f ca="1">IF(ISBLANK(Table1[[#This Row],[Exit]]),DATEDIF(Table1[[#This Row],[Hire]],TODAY(),"Y"),DATEDIF(Table1[[#This Row],[Hire]],Table1[[#This Row],[Exit]],"Y"))</f>
        <v>1</v>
      </c>
      <c r="N719" t="str" cm="1">
        <f t="array" ref="N719">_xlfn.IFS(
AND(D719&gt;=26,D719&lt;=30),"26–30",
AND(D719&gt;=31,D719&lt;=35),"31–35",
AND(D719&gt;=36,D719&lt;=40),"36–40",
AND(D719&gt;=41,D719&lt;=45),"41–45",
AND(D719&gt;=46,D719&lt;=50),"46–50",
AND(D719&gt;=51,D719&lt;=60),"51–60")</f>
        <v>51–60</v>
      </c>
    </row>
    <row r="720" spans="1:14" x14ac:dyDescent="0.35">
      <c r="A720" t="s">
        <v>1411</v>
      </c>
      <c r="B720" t="s">
        <v>1412</v>
      </c>
      <c r="C720" t="s">
        <v>21</v>
      </c>
      <c r="D720">
        <v>51</v>
      </c>
      <c r="E720" t="s">
        <v>52</v>
      </c>
      <c r="F720" t="s">
        <v>28</v>
      </c>
      <c r="G720" t="s">
        <v>34</v>
      </c>
      <c r="H720" s="1">
        <v>44183</v>
      </c>
      <c r="J720">
        <v>265870</v>
      </c>
      <c r="K720">
        <v>0</v>
      </c>
      <c r="L720" t="s">
        <v>24</v>
      </c>
      <c r="M720">
        <f ca="1">IF(ISBLANK(Table1[[#This Row],[Exit]]),DATEDIF(Table1[[#This Row],[Hire]],TODAY(),"Y"),DATEDIF(Table1[[#This Row],[Hire]],Table1[[#This Row],[Exit]],"Y"))</f>
        <v>5</v>
      </c>
      <c r="N720" t="str" cm="1">
        <f t="array" ref="N720">_xlfn.IFS(
AND(D720&gt;=26,D720&lt;=30),"26–30",
AND(D720&gt;=31,D720&lt;=35),"31–35",
AND(D720&gt;=36,D720&lt;=40),"36–40",
AND(D720&gt;=41,D720&lt;=45),"41–45",
AND(D720&gt;=46,D720&lt;=50),"46–50",
AND(D720&gt;=51,D720&lt;=60),"51–60")</f>
        <v>51–60</v>
      </c>
    </row>
    <row r="721" spans="1:14" x14ac:dyDescent="0.35">
      <c r="A721" t="s">
        <v>1413</v>
      </c>
      <c r="B721" t="s">
        <v>1414</v>
      </c>
      <c r="C721" t="s">
        <v>21</v>
      </c>
      <c r="D721">
        <v>51</v>
      </c>
      <c r="E721" t="s">
        <v>52</v>
      </c>
      <c r="F721" t="s">
        <v>16</v>
      </c>
      <c r="G721" t="s">
        <v>23</v>
      </c>
      <c r="H721" s="1">
        <v>43837</v>
      </c>
      <c r="J721">
        <v>154396</v>
      </c>
      <c r="K721">
        <v>0</v>
      </c>
      <c r="L721" t="s">
        <v>24</v>
      </c>
      <c r="M721">
        <f ca="1">IF(ISBLANK(Table1[[#This Row],[Exit]]),DATEDIF(Table1[[#This Row],[Hire]],TODAY(),"Y"),DATEDIF(Table1[[#This Row],[Hire]],Table1[[#This Row],[Exit]],"Y"))</f>
        <v>6</v>
      </c>
      <c r="N721" t="str" cm="1">
        <f t="array" ref="N721">_xlfn.IFS(
AND(D721&gt;=26,D721&lt;=30),"26–30",
AND(D721&gt;=31,D721&lt;=35),"31–35",
AND(D721&gt;=36,D721&lt;=40),"36–40",
AND(D721&gt;=41,D721&lt;=45),"41–45",
AND(D721&gt;=46,D721&lt;=50),"46–50",
AND(D721&gt;=51,D721&lt;=60),"51–60")</f>
        <v>51–60</v>
      </c>
    </row>
    <row r="722" spans="1:14" x14ac:dyDescent="0.35">
      <c r="A722" t="s">
        <v>1415</v>
      </c>
      <c r="B722" t="s">
        <v>1416</v>
      </c>
      <c r="C722" t="s">
        <v>21</v>
      </c>
      <c r="D722">
        <v>51</v>
      </c>
      <c r="E722" t="s">
        <v>66</v>
      </c>
      <c r="F722" t="s">
        <v>16</v>
      </c>
      <c r="G722" t="s">
        <v>34</v>
      </c>
      <c r="H722" s="1">
        <v>45206</v>
      </c>
      <c r="J722">
        <v>413290</v>
      </c>
      <c r="K722">
        <v>0</v>
      </c>
      <c r="L722" t="s">
        <v>24</v>
      </c>
      <c r="M722">
        <f ca="1">IF(ISBLANK(Table1[[#This Row],[Exit]]),DATEDIF(Table1[[#This Row],[Hire]],TODAY(),"Y"),DATEDIF(Table1[[#This Row],[Hire]],Table1[[#This Row],[Exit]],"Y"))</f>
        <v>2</v>
      </c>
      <c r="N722" t="str" cm="1">
        <f t="array" ref="N722">_xlfn.IFS(
AND(D722&gt;=26,D722&lt;=30),"26–30",
AND(D722&gt;=31,D722&lt;=35),"31–35",
AND(D722&gt;=36,D722&lt;=40),"36–40",
AND(D722&gt;=41,D722&lt;=45),"41–45",
AND(D722&gt;=46,D722&lt;=50),"46–50",
AND(D722&gt;=51,D722&lt;=60),"51–60")</f>
        <v>51–60</v>
      </c>
    </row>
    <row r="723" spans="1:14" x14ac:dyDescent="0.35">
      <c r="A723" t="s">
        <v>1417</v>
      </c>
      <c r="B723" t="s">
        <v>1418</v>
      </c>
      <c r="C723" t="s">
        <v>21</v>
      </c>
      <c r="D723">
        <v>36</v>
      </c>
      <c r="E723" t="s">
        <v>58</v>
      </c>
      <c r="F723" t="s">
        <v>43</v>
      </c>
      <c r="G723" t="s">
        <v>34</v>
      </c>
      <c r="H723" s="1">
        <v>44487</v>
      </c>
      <c r="J723">
        <v>375420</v>
      </c>
      <c r="K723">
        <v>0</v>
      </c>
      <c r="L723" t="s">
        <v>24</v>
      </c>
      <c r="M723">
        <f ca="1">IF(ISBLANK(Table1[[#This Row],[Exit]]),DATEDIF(Table1[[#This Row],[Hire]],TODAY(),"Y"),DATEDIF(Table1[[#This Row],[Hire]],Table1[[#This Row],[Exit]],"Y"))</f>
        <v>4</v>
      </c>
      <c r="N723" t="str" cm="1">
        <f t="array" ref="N723">_xlfn.IFS(
AND(D723&gt;=26,D723&lt;=30),"26–30",
AND(D723&gt;=31,D723&lt;=35),"31–35",
AND(D723&gt;=36,D723&lt;=40),"36–40",
AND(D723&gt;=41,D723&lt;=45),"41–45",
AND(D723&gt;=46,D723&lt;=50),"46–50",
AND(D723&gt;=51,D723&lt;=60),"51–60")</f>
        <v>36–40</v>
      </c>
    </row>
    <row r="724" spans="1:14" x14ac:dyDescent="0.35">
      <c r="A724" t="s">
        <v>1419</v>
      </c>
      <c r="B724" t="s">
        <v>1420</v>
      </c>
      <c r="C724" t="s">
        <v>21</v>
      </c>
      <c r="D724">
        <v>45</v>
      </c>
      <c r="E724" t="s">
        <v>66</v>
      </c>
      <c r="F724" t="s">
        <v>46</v>
      </c>
      <c r="G724" t="s">
        <v>23</v>
      </c>
      <c r="H724" s="1">
        <v>44791</v>
      </c>
      <c r="J724">
        <v>286739</v>
      </c>
      <c r="K724">
        <v>0</v>
      </c>
      <c r="L724" t="s">
        <v>24</v>
      </c>
      <c r="M724">
        <f ca="1">IF(ISBLANK(Table1[[#This Row],[Exit]]),DATEDIF(Table1[[#This Row],[Hire]],TODAY(),"Y"),DATEDIF(Table1[[#This Row],[Hire]],Table1[[#This Row],[Exit]],"Y"))</f>
        <v>3</v>
      </c>
      <c r="N724" t="str" cm="1">
        <f t="array" ref="N724">_xlfn.IFS(
AND(D724&gt;=26,D724&lt;=30),"26–30",
AND(D724&gt;=31,D724&lt;=35),"31–35",
AND(D724&gt;=36,D724&lt;=40),"36–40",
AND(D724&gt;=41,D724&lt;=45),"41–45",
AND(D724&gt;=46,D724&lt;=50),"46–50",
AND(D724&gt;=51,D724&lt;=60),"51–60")</f>
        <v>41–45</v>
      </c>
    </row>
    <row r="725" spans="1:14" x14ac:dyDescent="0.35">
      <c r="A725" t="s">
        <v>1421</v>
      </c>
      <c r="B725" t="s">
        <v>1422</v>
      </c>
      <c r="C725" t="s">
        <v>21</v>
      </c>
      <c r="D725">
        <v>37</v>
      </c>
      <c r="E725" t="s">
        <v>66</v>
      </c>
      <c r="F725" t="s">
        <v>49</v>
      </c>
      <c r="G725" t="s">
        <v>17</v>
      </c>
      <c r="H725" s="1">
        <v>45440</v>
      </c>
      <c r="J725">
        <v>295374</v>
      </c>
      <c r="K725">
        <v>0</v>
      </c>
      <c r="L725" t="s">
        <v>24</v>
      </c>
      <c r="M725">
        <f ca="1">IF(ISBLANK(Table1[[#This Row],[Exit]]),DATEDIF(Table1[[#This Row],[Hire]],TODAY(),"Y"),DATEDIF(Table1[[#This Row],[Hire]],Table1[[#This Row],[Exit]],"Y"))</f>
        <v>1</v>
      </c>
      <c r="N725" t="str" cm="1">
        <f t="array" ref="N725">_xlfn.IFS(
AND(D725&gt;=26,D725&lt;=30),"26–30",
AND(D725&gt;=31,D725&lt;=35),"31–35",
AND(D725&gt;=36,D725&lt;=40),"36–40",
AND(D725&gt;=41,D725&lt;=45),"41–45",
AND(D725&gt;=46,D725&lt;=50),"46–50",
AND(D725&gt;=51,D725&lt;=60),"51–60")</f>
        <v>36–40</v>
      </c>
    </row>
    <row r="726" spans="1:14" x14ac:dyDescent="0.35">
      <c r="A726" t="s">
        <v>1423</v>
      </c>
      <c r="B726" t="s">
        <v>1424</v>
      </c>
      <c r="C726" t="s">
        <v>14</v>
      </c>
      <c r="D726">
        <v>38</v>
      </c>
      <c r="E726" t="s">
        <v>58</v>
      </c>
      <c r="F726" t="s">
        <v>16</v>
      </c>
      <c r="G726" t="s">
        <v>53</v>
      </c>
      <c r="H726" s="1">
        <v>44811</v>
      </c>
      <c r="J726">
        <v>312874</v>
      </c>
      <c r="K726">
        <v>0</v>
      </c>
      <c r="L726" t="s">
        <v>24</v>
      </c>
      <c r="M726">
        <f ca="1">IF(ISBLANK(Table1[[#This Row],[Exit]]),DATEDIF(Table1[[#This Row],[Hire]],TODAY(),"Y"),DATEDIF(Table1[[#This Row],[Hire]],Table1[[#This Row],[Exit]],"Y"))</f>
        <v>3</v>
      </c>
      <c r="N726" t="str" cm="1">
        <f t="array" ref="N726">_xlfn.IFS(
AND(D726&gt;=26,D726&lt;=30),"26–30",
AND(D726&gt;=31,D726&lt;=35),"31–35",
AND(D726&gt;=36,D726&lt;=40),"36–40",
AND(D726&gt;=41,D726&lt;=45),"41–45",
AND(D726&gt;=46,D726&lt;=50),"46–50",
AND(D726&gt;=51,D726&lt;=60),"51–60")</f>
        <v>36–40</v>
      </c>
    </row>
    <row r="727" spans="1:14" x14ac:dyDescent="0.35">
      <c r="A727" t="s">
        <v>1425</v>
      </c>
      <c r="B727" t="s">
        <v>1426</v>
      </c>
      <c r="C727" t="s">
        <v>41</v>
      </c>
      <c r="D727">
        <v>45</v>
      </c>
      <c r="E727" t="s">
        <v>15</v>
      </c>
      <c r="F727" t="s">
        <v>46</v>
      </c>
      <c r="G727" t="s">
        <v>53</v>
      </c>
      <c r="H727" s="1">
        <v>45294</v>
      </c>
      <c r="J727">
        <v>350974</v>
      </c>
      <c r="K727">
        <v>0</v>
      </c>
      <c r="L727" t="s">
        <v>24</v>
      </c>
      <c r="M727">
        <f ca="1">IF(ISBLANK(Table1[[#This Row],[Exit]]),DATEDIF(Table1[[#This Row],[Hire]],TODAY(),"Y"),DATEDIF(Table1[[#This Row],[Hire]],Table1[[#This Row],[Exit]],"Y"))</f>
        <v>2</v>
      </c>
      <c r="N727" t="str" cm="1">
        <f t="array" ref="N727">_xlfn.IFS(
AND(D727&gt;=26,D727&lt;=30),"26–30",
AND(D727&gt;=31,D727&lt;=35),"31–35",
AND(D727&gt;=36,D727&lt;=40),"36–40",
AND(D727&gt;=41,D727&lt;=45),"41–45",
AND(D727&gt;=46,D727&lt;=50),"46–50",
AND(D727&gt;=51,D727&lt;=60),"51–60")</f>
        <v>41–45</v>
      </c>
    </row>
    <row r="728" spans="1:14" x14ac:dyDescent="0.35">
      <c r="A728" t="s">
        <v>1427</v>
      </c>
      <c r="B728" t="s">
        <v>1428</v>
      </c>
      <c r="C728" t="s">
        <v>14</v>
      </c>
      <c r="D728">
        <v>51</v>
      </c>
      <c r="E728" t="s">
        <v>22</v>
      </c>
      <c r="F728" t="s">
        <v>59</v>
      </c>
      <c r="G728" t="s">
        <v>34</v>
      </c>
      <c r="H728" s="1">
        <v>45074</v>
      </c>
      <c r="I728" s="1">
        <v>45337</v>
      </c>
      <c r="J728">
        <v>278964</v>
      </c>
      <c r="K728">
        <v>0.06</v>
      </c>
      <c r="L728" t="s">
        <v>18</v>
      </c>
      <c r="M728">
        <f ca="1">IF(ISBLANK(Table1[[#This Row],[Exit]]),DATEDIF(Table1[[#This Row],[Hire]],TODAY(),"Y"),DATEDIF(Table1[[#This Row],[Hire]],Table1[[#This Row],[Exit]],"Y"))</f>
        <v>0</v>
      </c>
      <c r="N728" t="str" cm="1">
        <f t="array" ref="N728">_xlfn.IFS(
AND(D728&gt;=26,D728&lt;=30),"26–30",
AND(D728&gt;=31,D728&lt;=35),"31–35",
AND(D728&gt;=36,D728&lt;=40),"36–40",
AND(D728&gt;=41,D728&lt;=45),"41–45",
AND(D728&gt;=46,D728&lt;=50),"46–50",
AND(D728&gt;=51,D728&lt;=60),"51–60")</f>
        <v>51–60</v>
      </c>
    </row>
    <row r="729" spans="1:14" x14ac:dyDescent="0.35">
      <c r="A729" t="s">
        <v>1429</v>
      </c>
      <c r="B729" t="s">
        <v>1430</v>
      </c>
      <c r="C729" t="s">
        <v>21</v>
      </c>
      <c r="D729">
        <v>56</v>
      </c>
      <c r="E729" t="s">
        <v>81</v>
      </c>
      <c r="F729" t="s">
        <v>16</v>
      </c>
      <c r="G729" t="s">
        <v>23</v>
      </c>
      <c r="H729" s="1">
        <v>45245</v>
      </c>
      <c r="I729" s="1">
        <v>45294</v>
      </c>
      <c r="J729">
        <v>543290</v>
      </c>
      <c r="K729">
        <v>0.05</v>
      </c>
      <c r="L729" t="s">
        <v>18</v>
      </c>
      <c r="M729">
        <f ca="1">IF(ISBLANK(Table1[[#This Row],[Exit]]),DATEDIF(Table1[[#This Row],[Hire]],TODAY(),"Y"),DATEDIF(Table1[[#This Row],[Hire]],Table1[[#This Row],[Exit]],"Y"))</f>
        <v>0</v>
      </c>
      <c r="N729" t="str" cm="1">
        <f t="array" ref="N729">_xlfn.IFS(
AND(D729&gt;=26,D729&lt;=30),"26–30",
AND(D729&gt;=31,D729&lt;=35),"31–35",
AND(D729&gt;=36,D729&lt;=40),"36–40",
AND(D729&gt;=41,D729&lt;=45),"41–45",
AND(D729&gt;=46,D729&lt;=50),"46–50",
AND(D729&gt;=51,D729&lt;=60),"51–60")</f>
        <v>51–60</v>
      </c>
    </row>
    <row r="730" spans="1:14" x14ac:dyDescent="0.35">
      <c r="A730" t="s">
        <v>1431</v>
      </c>
      <c r="B730" t="s">
        <v>1432</v>
      </c>
      <c r="C730" t="s">
        <v>41</v>
      </c>
      <c r="D730">
        <v>53</v>
      </c>
      <c r="E730" t="s">
        <v>52</v>
      </c>
      <c r="F730" t="s">
        <v>16</v>
      </c>
      <c r="G730" t="s">
        <v>34</v>
      </c>
      <c r="H730" s="1">
        <v>43851</v>
      </c>
      <c r="I730" s="1">
        <v>45206</v>
      </c>
      <c r="J730">
        <v>415290</v>
      </c>
      <c r="K730">
        <v>0</v>
      </c>
      <c r="L730" t="s">
        <v>18</v>
      </c>
      <c r="M730">
        <f ca="1">IF(ISBLANK(Table1[[#This Row],[Exit]]),DATEDIF(Table1[[#This Row],[Hire]],TODAY(),"Y"),DATEDIF(Table1[[#This Row],[Hire]],Table1[[#This Row],[Exit]],"Y"))</f>
        <v>3</v>
      </c>
      <c r="N730" t="str" cm="1">
        <f t="array" ref="N730">_xlfn.IFS(
AND(D730&gt;=26,D730&lt;=30),"26–30",
AND(D730&gt;=31,D730&lt;=35),"31–35",
AND(D730&gt;=36,D730&lt;=40),"36–40",
AND(D730&gt;=41,D730&lt;=45),"41–45",
AND(D730&gt;=46,D730&lt;=50),"46–50",
AND(D730&gt;=51,D730&lt;=60),"51–60")</f>
        <v>51–60</v>
      </c>
    </row>
    <row r="731" spans="1:14" x14ac:dyDescent="0.35">
      <c r="A731" t="s">
        <v>1433</v>
      </c>
      <c r="B731" t="s">
        <v>1434</v>
      </c>
      <c r="C731" t="s">
        <v>14</v>
      </c>
      <c r="D731">
        <v>47</v>
      </c>
      <c r="E731" t="s">
        <v>66</v>
      </c>
      <c r="F731" t="s">
        <v>16</v>
      </c>
      <c r="G731" t="s">
        <v>17</v>
      </c>
      <c r="H731" s="1">
        <v>45206</v>
      </c>
      <c r="J731">
        <v>271890</v>
      </c>
      <c r="K731">
        <v>0.13</v>
      </c>
      <c r="L731" t="s">
        <v>24</v>
      </c>
      <c r="M731">
        <f ca="1">IF(ISBLANK(Table1[[#This Row],[Exit]]),DATEDIF(Table1[[#This Row],[Hire]],TODAY(),"Y"),DATEDIF(Table1[[#This Row],[Hire]],Table1[[#This Row],[Exit]],"Y"))</f>
        <v>2</v>
      </c>
      <c r="N731" t="str" cm="1">
        <f t="array" ref="N731">_xlfn.IFS(
AND(D731&gt;=26,D731&lt;=30),"26–30",
AND(D731&gt;=31,D731&lt;=35),"31–35",
AND(D731&gt;=36,D731&lt;=40),"36–40",
AND(D731&gt;=41,D731&lt;=45),"41–45",
AND(D731&gt;=46,D731&lt;=50),"46–50",
AND(D731&gt;=51,D731&lt;=60),"51–60")</f>
        <v>46–50</v>
      </c>
    </row>
    <row r="732" spans="1:14" x14ac:dyDescent="0.35">
      <c r="A732" t="s">
        <v>1435</v>
      </c>
      <c r="B732" t="s">
        <v>1436</v>
      </c>
      <c r="C732" t="s">
        <v>21</v>
      </c>
      <c r="D732">
        <v>36</v>
      </c>
      <c r="E732" t="s">
        <v>31</v>
      </c>
      <c r="F732" t="s">
        <v>59</v>
      </c>
      <c r="G732" t="s">
        <v>23</v>
      </c>
      <c r="H732" s="1">
        <v>45401</v>
      </c>
      <c r="J732">
        <v>429871</v>
      </c>
      <c r="K732">
        <v>0.2</v>
      </c>
      <c r="L732" t="s">
        <v>24</v>
      </c>
      <c r="M732">
        <f ca="1">IF(ISBLANK(Table1[[#This Row],[Exit]]),DATEDIF(Table1[[#This Row],[Hire]],TODAY(),"Y"),DATEDIF(Table1[[#This Row],[Hire]],Table1[[#This Row],[Exit]],"Y"))</f>
        <v>1</v>
      </c>
      <c r="N732" t="str" cm="1">
        <f t="array" ref="N732">_xlfn.IFS(
AND(D732&gt;=26,D732&lt;=30),"26–30",
AND(D732&gt;=31,D732&lt;=35),"31–35",
AND(D732&gt;=36,D732&lt;=40),"36–40",
AND(D732&gt;=41,D732&lt;=45),"41–45",
AND(D732&gt;=46,D732&lt;=50),"46–50",
AND(D732&gt;=51,D732&lt;=60),"51–60")</f>
        <v>36–40</v>
      </c>
    </row>
    <row r="733" spans="1:14" x14ac:dyDescent="0.35">
      <c r="A733" t="s">
        <v>1437</v>
      </c>
      <c r="B733" t="s">
        <v>1438</v>
      </c>
      <c r="C733" t="s">
        <v>21</v>
      </c>
      <c r="D733">
        <v>41</v>
      </c>
      <c r="E733" t="s">
        <v>81</v>
      </c>
      <c r="F733" t="s">
        <v>16</v>
      </c>
      <c r="G733" t="s">
        <v>34</v>
      </c>
      <c r="H733" s="1">
        <v>44083</v>
      </c>
      <c r="J733">
        <v>354782</v>
      </c>
      <c r="K733">
        <v>0</v>
      </c>
      <c r="L733" t="s">
        <v>24</v>
      </c>
      <c r="M733">
        <f ca="1">IF(ISBLANK(Table1[[#This Row],[Exit]]),DATEDIF(Table1[[#This Row],[Hire]],TODAY(),"Y"),DATEDIF(Table1[[#This Row],[Hire]],Table1[[#This Row],[Exit]],"Y"))</f>
        <v>5</v>
      </c>
      <c r="N733" t="str" cm="1">
        <f t="array" ref="N733">_xlfn.IFS(
AND(D733&gt;=26,D733&lt;=30),"26–30",
AND(D733&gt;=31,D733&lt;=35),"31–35",
AND(D733&gt;=36,D733&lt;=40),"36–40",
AND(D733&gt;=41,D733&lt;=45),"41–45",
AND(D733&gt;=46,D733&lt;=50),"46–50",
AND(D733&gt;=51,D733&lt;=60),"51–60")</f>
        <v>41–45</v>
      </c>
    </row>
    <row r="734" spans="1:14" x14ac:dyDescent="0.35">
      <c r="A734" t="s">
        <v>169</v>
      </c>
      <c r="B734" t="s">
        <v>1439</v>
      </c>
      <c r="C734" t="s">
        <v>21</v>
      </c>
      <c r="D734">
        <v>46</v>
      </c>
      <c r="E734" t="s">
        <v>92</v>
      </c>
      <c r="F734" t="s">
        <v>16</v>
      </c>
      <c r="G734" t="s">
        <v>53</v>
      </c>
      <c r="H734" s="1">
        <v>45233</v>
      </c>
      <c r="J734">
        <v>415972</v>
      </c>
      <c r="K734">
        <v>0</v>
      </c>
      <c r="L734" t="s">
        <v>24</v>
      </c>
      <c r="M734">
        <f ca="1">IF(ISBLANK(Table1[[#This Row],[Exit]]),DATEDIF(Table1[[#This Row],[Hire]],TODAY(),"Y"),DATEDIF(Table1[[#This Row],[Hire]],Table1[[#This Row],[Exit]],"Y"))</f>
        <v>2</v>
      </c>
      <c r="N734" t="str" cm="1">
        <f t="array" ref="N734">_xlfn.IFS(
AND(D734&gt;=26,D734&lt;=30),"26–30",
AND(D734&gt;=31,D734&lt;=35),"31–35",
AND(D734&gt;=36,D734&lt;=40),"36–40",
AND(D734&gt;=41,D734&lt;=45),"41–45",
AND(D734&gt;=46,D734&lt;=50),"46–50",
AND(D734&gt;=51,D734&lt;=60),"51–60")</f>
        <v>46–50</v>
      </c>
    </row>
    <row r="735" spans="1:14" x14ac:dyDescent="0.35">
      <c r="A735" t="s">
        <v>1440</v>
      </c>
      <c r="B735" t="s">
        <v>1441</v>
      </c>
      <c r="C735" t="s">
        <v>21</v>
      </c>
      <c r="D735">
        <v>46</v>
      </c>
      <c r="E735" t="s">
        <v>81</v>
      </c>
      <c r="F735" t="s">
        <v>59</v>
      </c>
      <c r="G735" t="s">
        <v>53</v>
      </c>
      <c r="H735" s="1">
        <v>45412</v>
      </c>
      <c r="J735">
        <v>251472</v>
      </c>
      <c r="K735">
        <v>0</v>
      </c>
      <c r="L735" t="s">
        <v>24</v>
      </c>
      <c r="M735">
        <f ca="1">IF(ISBLANK(Table1[[#This Row],[Exit]]),DATEDIF(Table1[[#This Row],[Hire]],TODAY(),"Y"),DATEDIF(Table1[[#This Row],[Hire]],Table1[[#This Row],[Exit]],"Y"))</f>
        <v>1</v>
      </c>
      <c r="N735" t="str" cm="1">
        <f t="array" ref="N735">_xlfn.IFS(
AND(D735&gt;=26,D735&lt;=30),"26–30",
AND(D735&gt;=31,D735&lt;=35),"31–35",
AND(D735&gt;=36,D735&lt;=40),"36–40",
AND(D735&gt;=41,D735&lt;=45),"41–45",
AND(D735&gt;=46,D735&lt;=50),"46–50",
AND(D735&gt;=51,D735&lt;=60),"51–60")</f>
        <v>46–50</v>
      </c>
    </row>
    <row r="736" spans="1:14" x14ac:dyDescent="0.35">
      <c r="A736" t="s">
        <v>1442</v>
      </c>
      <c r="B736" t="s">
        <v>1443</v>
      </c>
      <c r="C736" t="s">
        <v>14</v>
      </c>
      <c r="D736">
        <v>38</v>
      </c>
      <c r="E736" t="s">
        <v>22</v>
      </c>
      <c r="F736" t="s">
        <v>16</v>
      </c>
      <c r="G736" t="s">
        <v>53</v>
      </c>
      <c r="H736" s="1">
        <v>43887</v>
      </c>
      <c r="J736">
        <v>358974</v>
      </c>
      <c r="K736">
        <v>0</v>
      </c>
      <c r="L736" t="s">
        <v>18</v>
      </c>
      <c r="M736">
        <f ca="1">IF(ISBLANK(Table1[[#This Row],[Exit]]),DATEDIF(Table1[[#This Row],[Hire]],TODAY(),"Y"),DATEDIF(Table1[[#This Row],[Hire]],Table1[[#This Row],[Exit]],"Y"))</f>
        <v>5</v>
      </c>
      <c r="N736" t="str" cm="1">
        <f t="array" ref="N736">_xlfn.IFS(
AND(D736&gt;=26,D736&lt;=30),"26–30",
AND(D736&gt;=31,D736&lt;=35),"31–35",
AND(D736&gt;=36,D736&lt;=40),"36–40",
AND(D736&gt;=41,D736&lt;=45),"41–45",
AND(D736&gt;=46,D736&lt;=50),"46–50",
AND(D736&gt;=51,D736&lt;=60),"51–60")</f>
        <v>36–40</v>
      </c>
    </row>
    <row r="737" spans="1:14" x14ac:dyDescent="0.35">
      <c r="A737" t="s">
        <v>1444</v>
      </c>
      <c r="B737" t="s">
        <v>1445</v>
      </c>
      <c r="C737" t="s">
        <v>21</v>
      </c>
      <c r="D737">
        <v>46</v>
      </c>
      <c r="E737" t="s">
        <v>92</v>
      </c>
      <c r="F737" t="s">
        <v>16</v>
      </c>
      <c r="G737" t="s">
        <v>53</v>
      </c>
      <c r="H737" s="1">
        <v>44815</v>
      </c>
      <c r="I737" s="1">
        <v>45074</v>
      </c>
      <c r="J737">
        <v>154928</v>
      </c>
      <c r="K737">
        <v>0.09</v>
      </c>
      <c r="L737" t="s">
        <v>24</v>
      </c>
      <c r="M737">
        <f ca="1">IF(ISBLANK(Table1[[#This Row],[Exit]]),DATEDIF(Table1[[#This Row],[Hire]],TODAY(),"Y"),DATEDIF(Table1[[#This Row],[Hire]],Table1[[#This Row],[Exit]],"Y"))</f>
        <v>0</v>
      </c>
      <c r="N737" t="str" cm="1">
        <f t="array" ref="N737">_xlfn.IFS(
AND(D737&gt;=26,D737&lt;=30),"26–30",
AND(D737&gt;=31,D737&lt;=35),"31–35",
AND(D737&gt;=36,D737&lt;=40),"36–40",
AND(D737&gt;=41,D737&lt;=45),"41–45",
AND(D737&gt;=46,D737&lt;=50),"46–50",
AND(D737&gt;=51,D737&lt;=60),"51–60")</f>
        <v>46–50</v>
      </c>
    </row>
    <row r="738" spans="1:14" x14ac:dyDescent="0.35">
      <c r="A738" t="s">
        <v>1446</v>
      </c>
      <c r="B738" t="s">
        <v>1447</v>
      </c>
      <c r="C738" t="s">
        <v>14</v>
      </c>
      <c r="D738">
        <v>39</v>
      </c>
      <c r="E738" t="s">
        <v>31</v>
      </c>
      <c r="F738" t="s">
        <v>43</v>
      </c>
      <c r="G738" t="s">
        <v>53</v>
      </c>
      <c r="H738" s="1">
        <v>45064</v>
      </c>
      <c r="I738" s="1">
        <v>45401</v>
      </c>
      <c r="J738">
        <v>162493</v>
      </c>
      <c r="K738">
        <v>0</v>
      </c>
      <c r="L738" t="s">
        <v>18</v>
      </c>
      <c r="M738">
        <f ca="1">IF(ISBLANK(Table1[[#This Row],[Exit]]),DATEDIF(Table1[[#This Row],[Hire]],TODAY(),"Y"),DATEDIF(Table1[[#This Row],[Hire]],Table1[[#This Row],[Exit]],"Y"))</f>
        <v>0</v>
      </c>
      <c r="N738" t="str" cm="1">
        <f t="array" ref="N738">_xlfn.IFS(
AND(D738&gt;=26,D738&lt;=30),"26–30",
AND(D738&gt;=31,D738&lt;=35),"31–35",
AND(D738&gt;=36,D738&lt;=40),"36–40",
AND(D738&gt;=41,D738&lt;=45),"41–45",
AND(D738&gt;=46,D738&lt;=50),"46–50",
AND(D738&gt;=51,D738&lt;=60),"51–60")</f>
        <v>36–40</v>
      </c>
    </row>
    <row r="739" spans="1:14" x14ac:dyDescent="0.35">
      <c r="A739" t="s">
        <v>1448</v>
      </c>
      <c r="B739" t="s">
        <v>1449</v>
      </c>
      <c r="C739" t="s">
        <v>14</v>
      </c>
      <c r="D739">
        <v>31</v>
      </c>
      <c r="E739" t="s">
        <v>15</v>
      </c>
      <c r="F739" t="s">
        <v>16</v>
      </c>
      <c r="G739" t="s">
        <v>17</v>
      </c>
      <c r="H739" s="1">
        <v>44509</v>
      </c>
      <c r="J739">
        <v>364972</v>
      </c>
      <c r="K739">
        <v>0.15</v>
      </c>
      <c r="L739" t="s">
        <v>24</v>
      </c>
      <c r="M739">
        <f ca="1">IF(ISBLANK(Table1[[#This Row],[Exit]]),DATEDIF(Table1[[#This Row],[Hire]],TODAY(),"Y"),DATEDIF(Table1[[#This Row],[Hire]],Table1[[#This Row],[Exit]],"Y"))</f>
        <v>4</v>
      </c>
      <c r="N739" t="str" cm="1">
        <f t="array" ref="N739">_xlfn.IFS(
AND(D739&gt;=26,D739&lt;=30),"26–30",
AND(D739&gt;=31,D739&lt;=35),"31–35",
AND(D739&gt;=36,D739&lt;=40),"36–40",
AND(D739&gt;=41,D739&lt;=45),"41–45",
AND(D739&gt;=46,D739&lt;=50),"46–50",
AND(D739&gt;=51,D739&lt;=60),"51–60")</f>
        <v>31–35</v>
      </c>
    </row>
    <row r="740" spans="1:14" x14ac:dyDescent="0.35">
      <c r="A740" t="s">
        <v>1450</v>
      </c>
      <c r="B740" t="s">
        <v>1451</v>
      </c>
      <c r="C740" t="s">
        <v>14</v>
      </c>
      <c r="D740">
        <v>45</v>
      </c>
      <c r="E740" t="s">
        <v>22</v>
      </c>
      <c r="F740" t="s">
        <v>16</v>
      </c>
      <c r="G740" t="s">
        <v>23</v>
      </c>
      <c r="H740" s="1">
        <v>43963</v>
      </c>
      <c r="J740">
        <v>154873</v>
      </c>
      <c r="K740">
        <v>0</v>
      </c>
      <c r="L740" t="s">
        <v>24</v>
      </c>
      <c r="M740">
        <f ca="1">IF(ISBLANK(Table1[[#This Row],[Exit]]),DATEDIF(Table1[[#This Row],[Hire]],TODAY(),"Y"),DATEDIF(Table1[[#This Row],[Hire]],Table1[[#This Row],[Exit]],"Y"))</f>
        <v>5</v>
      </c>
      <c r="N740" t="str" cm="1">
        <f t="array" ref="N740">_xlfn.IFS(
AND(D740&gt;=26,D740&lt;=30),"26–30",
AND(D740&gt;=31,D740&lt;=35),"31–35",
AND(D740&gt;=36,D740&lt;=40),"36–40",
AND(D740&gt;=41,D740&lt;=45),"41–45",
AND(D740&gt;=46,D740&lt;=50),"46–50",
AND(D740&gt;=51,D740&lt;=60),"51–60")</f>
        <v>41–45</v>
      </c>
    </row>
    <row r="741" spans="1:14" x14ac:dyDescent="0.35">
      <c r="A741" t="s">
        <v>1452</v>
      </c>
      <c r="B741" t="s">
        <v>1453</v>
      </c>
      <c r="C741" t="s">
        <v>355</v>
      </c>
      <c r="D741">
        <v>50</v>
      </c>
      <c r="E741" t="s">
        <v>27</v>
      </c>
      <c r="F741" t="s">
        <v>16</v>
      </c>
      <c r="G741" t="s">
        <v>53</v>
      </c>
      <c r="H741" s="1">
        <v>44815</v>
      </c>
      <c r="J741">
        <v>347920</v>
      </c>
      <c r="K741">
        <v>0.26</v>
      </c>
      <c r="L741" t="s">
        <v>24</v>
      </c>
      <c r="M741">
        <f ca="1">IF(ISBLANK(Table1[[#This Row],[Exit]]),DATEDIF(Table1[[#This Row],[Hire]],TODAY(),"Y"),DATEDIF(Table1[[#This Row],[Hire]],Table1[[#This Row],[Exit]],"Y"))</f>
        <v>3</v>
      </c>
      <c r="N741" t="str" cm="1">
        <f t="array" ref="N741">_xlfn.IFS(
AND(D741&gt;=26,D741&lt;=30),"26–30",
AND(D741&gt;=31,D741&lt;=35),"31–35",
AND(D741&gt;=36,D741&lt;=40),"36–40",
AND(D741&gt;=41,D741&lt;=45),"41–45",
AND(D741&gt;=46,D741&lt;=50),"46–50",
AND(D741&gt;=51,D741&lt;=60),"51–60")</f>
        <v>46–50</v>
      </c>
    </row>
    <row r="742" spans="1:14" x14ac:dyDescent="0.35">
      <c r="A742" t="s">
        <v>1454</v>
      </c>
      <c r="B742" t="s">
        <v>1455</v>
      </c>
      <c r="C742" t="s">
        <v>14</v>
      </c>
      <c r="D742">
        <v>36</v>
      </c>
      <c r="E742" t="s">
        <v>31</v>
      </c>
      <c r="F742" t="s">
        <v>49</v>
      </c>
      <c r="G742" t="s">
        <v>34</v>
      </c>
      <c r="H742" s="1">
        <v>44857</v>
      </c>
      <c r="I742" s="1">
        <v>45412</v>
      </c>
      <c r="J742">
        <v>371928</v>
      </c>
      <c r="K742">
        <v>0</v>
      </c>
      <c r="L742" t="s">
        <v>18</v>
      </c>
      <c r="M742">
        <f ca="1">IF(ISBLANK(Table1[[#This Row],[Exit]]),DATEDIF(Table1[[#This Row],[Hire]],TODAY(),"Y"),DATEDIF(Table1[[#This Row],[Hire]],Table1[[#This Row],[Exit]],"Y"))</f>
        <v>1</v>
      </c>
      <c r="N742" t="str" cm="1">
        <f t="array" ref="N742">_xlfn.IFS(
AND(D742&gt;=26,D742&lt;=30),"26–30",
AND(D742&gt;=31,D742&lt;=35),"31–35",
AND(D742&gt;=36,D742&lt;=40),"36–40",
AND(D742&gt;=41,D742&lt;=45),"41–45",
AND(D742&gt;=46,D742&lt;=50),"46–50",
AND(D742&gt;=51,D742&lt;=60),"51–60")</f>
        <v>36–40</v>
      </c>
    </row>
    <row r="743" spans="1:14" x14ac:dyDescent="0.35">
      <c r="A743" t="s">
        <v>1456</v>
      </c>
      <c r="B743" t="s">
        <v>1457</v>
      </c>
      <c r="C743" t="s">
        <v>21</v>
      </c>
      <c r="D743">
        <v>45</v>
      </c>
      <c r="E743" t="s">
        <v>27</v>
      </c>
      <c r="F743" t="s">
        <v>59</v>
      </c>
      <c r="G743" t="s">
        <v>53</v>
      </c>
      <c r="H743" s="1">
        <v>45527</v>
      </c>
      <c r="J743">
        <v>283794</v>
      </c>
      <c r="K743">
        <v>0.12</v>
      </c>
      <c r="L743" t="s">
        <v>24</v>
      </c>
      <c r="M743">
        <f ca="1">IF(ISBLANK(Table1[[#This Row],[Exit]]),DATEDIF(Table1[[#This Row],[Hire]],TODAY(),"Y"),DATEDIF(Table1[[#This Row],[Hire]],Table1[[#This Row],[Exit]],"Y"))</f>
        <v>1</v>
      </c>
      <c r="N743" t="str" cm="1">
        <f t="array" ref="N743">_xlfn.IFS(
AND(D743&gt;=26,D743&lt;=30),"26–30",
AND(D743&gt;=31,D743&lt;=35),"31–35",
AND(D743&gt;=36,D743&lt;=40),"36–40",
AND(D743&gt;=41,D743&lt;=45),"41–45",
AND(D743&gt;=46,D743&lt;=50),"46–50",
AND(D743&gt;=51,D743&lt;=60),"51–60")</f>
        <v>41–45</v>
      </c>
    </row>
    <row r="744" spans="1:14" x14ac:dyDescent="0.35">
      <c r="A744" t="s">
        <v>1458</v>
      </c>
      <c r="B744" t="s">
        <v>1459</v>
      </c>
      <c r="C744" t="s">
        <v>14</v>
      </c>
      <c r="D744">
        <v>29</v>
      </c>
      <c r="E744" t="s">
        <v>15</v>
      </c>
      <c r="F744" t="s">
        <v>46</v>
      </c>
      <c r="G744" t="s">
        <v>23</v>
      </c>
      <c r="H744" s="1">
        <v>45237</v>
      </c>
      <c r="I744" s="1">
        <v>45430</v>
      </c>
      <c r="J744">
        <v>254983</v>
      </c>
      <c r="K744">
        <v>0</v>
      </c>
      <c r="L744" t="s">
        <v>18</v>
      </c>
      <c r="M744">
        <f ca="1">IF(ISBLANK(Table1[[#This Row],[Exit]]),DATEDIF(Table1[[#This Row],[Hire]],TODAY(),"Y"),DATEDIF(Table1[[#This Row],[Hire]],Table1[[#This Row],[Exit]],"Y"))</f>
        <v>0</v>
      </c>
      <c r="N744" t="str" cm="1">
        <f t="array" ref="N744">_xlfn.IFS(
AND(D744&gt;=26,D744&lt;=30),"26–30",
AND(D744&gt;=31,D744&lt;=35),"31–35",
AND(D744&gt;=36,D744&lt;=40),"36–40",
AND(D744&gt;=41,D744&lt;=45),"41–45",
AND(D744&gt;=46,D744&lt;=50),"46–50",
AND(D744&gt;=51,D744&lt;=60),"51–60")</f>
        <v>26–30</v>
      </c>
    </row>
    <row r="745" spans="1:14" x14ac:dyDescent="0.35">
      <c r="A745" t="s">
        <v>1460</v>
      </c>
      <c r="B745" t="s">
        <v>1461</v>
      </c>
      <c r="C745" t="s">
        <v>21</v>
      </c>
      <c r="D745">
        <v>46</v>
      </c>
      <c r="E745" t="s">
        <v>15</v>
      </c>
      <c r="F745" t="s">
        <v>16</v>
      </c>
      <c r="G745" t="s">
        <v>34</v>
      </c>
      <c r="H745" s="1">
        <v>45206</v>
      </c>
      <c r="J745">
        <v>145972</v>
      </c>
      <c r="K745">
        <v>0</v>
      </c>
      <c r="L745" t="s">
        <v>24</v>
      </c>
      <c r="M745">
        <f ca="1">IF(ISBLANK(Table1[[#This Row],[Exit]]),DATEDIF(Table1[[#This Row],[Hire]],TODAY(),"Y"),DATEDIF(Table1[[#This Row],[Hire]],Table1[[#This Row],[Exit]],"Y"))</f>
        <v>2</v>
      </c>
      <c r="N745" t="str" cm="1">
        <f t="array" ref="N745">_xlfn.IFS(
AND(D745&gt;=26,D745&lt;=30),"26–30",
AND(D745&gt;=31,D745&lt;=35),"31–35",
AND(D745&gt;=36,D745&lt;=40),"36–40",
AND(D745&gt;=41,D745&lt;=45),"41–45",
AND(D745&gt;=46,D745&lt;=50),"46–50",
AND(D745&gt;=51,D745&lt;=60),"51–60")</f>
        <v>46–50</v>
      </c>
    </row>
    <row r="746" spans="1:14" x14ac:dyDescent="0.35">
      <c r="A746" t="s">
        <v>1462</v>
      </c>
      <c r="B746" t="s">
        <v>1463</v>
      </c>
      <c r="C746" t="s">
        <v>14</v>
      </c>
      <c r="D746">
        <v>47</v>
      </c>
      <c r="E746" t="s">
        <v>42</v>
      </c>
      <c r="F746" t="s">
        <v>59</v>
      </c>
      <c r="G746" t="s">
        <v>34</v>
      </c>
      <c r="H746" s="1">
        <v>44677</v>
      </c>
      <c r="J746">
        <v>306491</v>
      </c>
      <c r="K746">
        <v>0</v>
      </c>
      <c r="L746" t="s">
        <v>24</v>
      </c>
      <c r="M746">
        <f ca="1">IF(ISBLANK(Table1[[#This Row],[Exit]]),DATEDIF(Table1[[#This Row],[Hire]],TODAY(),"Y"),DATEDIF(Table1[[#This Row],[Hire]],Table1[[#This Row],[Exit]],"Y"))</f>
        <v>3</v>
      </c>
      <c r="N746" t="str" cm="1">
        <f t="array" ref="N746">_xlfn.IFS(
AND(D746&gt;=26,D746&lt;=30),"26–30",
AND(D746&gt;=31,D746&lt;=35),"31–35",
AND(D746&gt;=36,D746&lt;=40),"36–40",
AND(D746&gt;=41,D746&lt;=45),"41–45",
AND(D746&gt;=46,D746&lt;=50),"46–50",
AND(D746&gt;=51,D746&lt;=60),"51–60")</f>
        <v>46–50</v>
      </c>
    </row>
    <row r="747" spans="1:14" x14ac:dyDescent="0.35">
      <c r="A747" t="s">
        <v>1464</v>
      </c>
      <c r="B747" t="s">
        <v>1465</v>
      </c>
      <c r="C747" t="s">
        <v>21</v>
      </c>
      <c r="D747">
        <v>38</v>
      </c>
      <c r="E747" t="s">
        <v>42</v>
      </c>
      <c r="F747" t="s">
        <v>16</v>
      </c>
      <c r="G747" t="s">
        <v>17</v>
      </c>
      <c r="H747" s="1">
        <v>43889</v>
      </c>
      <c r="I747" s="1">
        <v>44815</v>
      </c>
      <c r="J747">
        <v>290478</v>
      </c>
      <c r="K747">
        <v>0.08</v>
      </c>
      <c r="L747" t="s">
        <v>18</v>
      </c>
      <c r="M747">
        <f ca="1">IF(ISBLANK(Table1[[#This Row],[Exit]]),DATEDIF(Table1[[#This Row],[Hire]],TODAY(),"Y"),DATEDIF(Table1[[#This Row],[Hire]],Table1[[#This Row],[Exit]],"Y"))</f>
        <v>2</v>
      </c>
      <c r="N747" t="str" cm="1">
        <f t="array" ref="N747">_xlfn.IFS(
AND(D747&gt;=26,D747&lt;=30),"26–30",
AND(D747&gt;=31,D747&lt;=35),"31–35",
AND(D747&gt;=36,D747&lt;=40),"36–40",
AND(D747&gt;=41,D747&lt;=45),"41–45",
AND(D747&gt;=46,D747&lt;=50),"46–50",
AND(D747&gt;=51,D747&lt;=60),"51–60")</f>
        <v>36–40</v>
      </c>
    </row>
    <row r="748" spans="1:14" x14ac:dyDescent="0.35">
      <c r="A748" t="s">
        <v>1466</v>
      </c>
      <c r="B748" t="s">
        <v>1467</v>
      </c>
      <c r="C748" t="s">
        <v>21</v>
      </c>
      <c r="D748">
        <v>40</v>
      </c>
      <c r="E748" t="s">
        <v>42</v>
      </c>
      <c r="F748" t="s">
        <v>16</v>
      </c>
      <c r="G748" t="s">
        <v>17</v>
      </c>
      <c r="H748" s="1">
        <v>44116</v>
      </c>
      <c r="I748" s="1">
        <v>45206</v>
      </c>
      <c r="J748">
        <v>374820</v>
      </c>
      <c r="K748">
        <v>0</v>
      </c>
      <c r="L748" t="s">
        <v>18</v>
      </c>
      <c r="M748">
        <f ca="1">IF(ISBLANK(Table1[[#This Row],[Exit]]),DATEDIF(Table1[[#This Row],[Hire]],TODAY(),"Y"),DATEDIF(Table1[[#This Row],[Hire]],Table1[[#This Row],[Exit]],"Y"))</f>
        <v>2</v>
      </c>
      <c r="N748" t="str" cm="1">
        <f t="array" ref="N748">_xlfn.IFS(
AND(D748&gt;=26,D748&lt;=30),"26–30",
AND(D748&gt;=31,D748&lt;=35),"31–35",
AND(D748&gt;=36,D748&lt;=40),"36–40",
AND(D748&gt;=41,D748&lt;=45),"41–45",
AND(D748&gt;=46,D748&lt;=50),"46–50",
AND(D748&gt;=51,D748&lt;=60),"51–60")</f>
        <v>36–40</v>
      </c>
    </row>
    <row r="749" spans="1:14" x14ac:dyDescent="0.35">
      <c r="A749" t="s">
        <v>1468</v>
      </c>
      <c r="B749" t="s">
        <v>1469</v>
      </c>
      <c r="C749" t="s">
        <v>41</v>
      </c>
      <c r="D749">
        <v>46</v>
      </c>
      <c r="E749" t="s">
        <v>52</v>
      </c>
      <c r="F749" t="s">
        <v>16</v>
      </c>
      <c r="G749" t="s">
        <v>23</v>
      </c>
      <c r="H749" s="1">
        <v>44588</v>
      </c>
      <c r="J749">
        <v>367394</v>
      </c>
      <c r="K749">
        <v>7.0000000000000007E-2</v>
      </c>
      <c r="L749" t="s">
        <v>24</v>
      </c>
      <c r="M749">
        <f ca="1">IF(ISBLANK(Table1[[#This Row],[Exit]]),DATEDIF(Table1[[#This Row],[Hire]],TODAY(),"Y"),DATEDIF(Table1[[#This Row],[Hire]],Table1[[#This Row],[Exit]],"Y"))</f>
        <v>4</v>
      </c>
      <c r="N749" t="str" cm="1">
        <f t="array" ref="N749">_xlfn.IFS(
AND(D749&gt;=26,D749&lt;=30),"26–30",
AND(D749&gt;=31,D749&lt;=35),"31–35",
AND(D749&gt;=36,D749&lt;=40),"36–40",
AND(D749&gt;=41,D749&lt;=45),"41–45",
AND(D749&gt;=46,D749&lt;=50),"46–50",
AND(D749&gt;=51,D749&lt;=60),"51–60")</f>
        <v>46–50</v>
      </c>
    </row>
    <row r="750" spans="1:14" x14ac:dyDescent="0.35">
      <c r="A750" t="s">
        <v>1470</v>
      </c>
      <c r="B750" t="s">
        <v>1471</v>
      </c>
      <c r="C750" t="s">
        <v>14</v>
      </c>
      <c r="D750">
        <v>26</v>
      </c>
      <c r="E750" t="s">
        <v>42</v>
      </c>
      <c r="F750" t="s">
        <v>28</v>
      </c>
      <c r="G750" t="s">
        <v>17</v>
      </c>
      <c r="H750" s="1">
        <v>43876</v>
      </c>
      <c r="I750" s="1">
        <v>45440</v>
      </c>
      <c r="J750">
        <v>416273</v>
      </c>
      <c r="K750">
        <v>7.0000000000000007E-2</v>
      </c>
      <c r="L750" t="s">
        <v>18</v>
      </c>
      <c r="M750">
        <f ca="1">IF(ISBLANK(Table1[[#This Row],[Exit]]),DATEDIF(Table1[[#This Row],[Hire]],TODAY(),"Y"),DATEDIF(Table1[[#This Row],[Hire]],Table1[[#This Row],[Exit]],"Y"))</f>
        <v>4</v>
      </c>
      <c r="N750" t="str" cm="1">
        <f t="array" ref="N750">_xlfn.IFS(
AND(D750&gt;=26,D750&lt;=30),"26–30",
AND(D750&gt;=31,D750&lt;=35),"31–35",
AND(D750&gt;=36,D750&lt;=40),"36–40",
AND(D750&gt;=41,D750&lt;=45),"41–45",
AND(D750&gt;=46,D750&lt;=50),"46–50",
AND(D750&gt;=51,D750&lt;=60),"51–60")</f>
        <v>26–30</v>
      </c>
    </row>
    <row r="751" spans="1:14" x14ac:dyDescent="0.35">
      <c r="A751" t="s">
        <v>1472</v>
      </c>
      <c r="B751" t="s">
        <v>1473</v>
      </c>
      <c r="C751" t="s">
        <v>41</v>
      </c>
      <c r="D751">
        <v>35</v>
      </c>
      <c r="E751" t="s">
        <v>58</v>
      </c>
      <c r="F751" t="s">
        <v>16</v>
      </c>
      <c r="G751" t="s">
        <v>23</v>
      </c>
      <c r="H751" s="1">
        <v>45332</v>
      </c>
      <c r="J751">
        <v>320879</v>
      </c>
      <c r="K751">
        <v>0</v>
      </c>
      <c r="L751" t="s">
        <v>24</v>
      </c>
      <c r="M751">
        <f ca="1">IF(ISBLANK(Table1[[#This Row],[Exit]]),DATEDIF(Table1[[#This Row],[Hire]],TODAY(),"Y"),DATEDIF(Table1[[#This Row],[Hire]],Table1[[#This Row],[Exit]],"Y"))</f>
        <v>1</v>
      </c>
      <c r="N751" t="str" cm="1">
        <f t="array" ref="N751">_xlfn.IFS(
AND(D751&gt;=26,D751&lt;=30),"26–30",
AND(D751&gt;=31,D751&lt;=35),"31–35",
AND(D751&gt;=36,D751&lt;=40),"36–40",
AND(D751&gt;=41,D751&lt;=45),"41–45",
AND(D751&gt;=46,D751&lt;=50),"46–50",
AND(D751&gt;=51,D751&lt;=60),"51–60")</f>
        <v>31–35</v>
      </c>
    </row>
    <row r="752" spans="1:14" x14ac:dyDescent="0.35">
      <c r="A752" t="s">
        <v>867</v>
      </c>
      <c r="B752" t="s">
        <v>1474</v>
      </c>
      <c r="C752" t="s">
        <v>14</v>
      </c>
      <c r="D752">
        <v>51</v>
      </c>
      <c r="E752" t="s">
        <v>52</v>
      </c>
      <c r="F752" t="s">
        <v>28</v>
      </c>
      <c r="G752" t="s">
        <v>34</v>
      </c>
      <c r="H752" s="1">
        <v>44183</v>
      </c>
      <c r="J752">
        <v>290376</v>
      </c>
      <c r="K752">
        <v>0.12</v>
      </c>
      <c r="L752" t="s">
        <v>24</v>
      </c>
      <c r="M752">
        <f ca="1">IF(ISBLANK(Table1[[#This Row],[Exit]]),DATEDIF(Table1[[#This Row],[Hire]],TODAY(),"Y"),DATEDIF(Table1[[#This Row],[Hire]],Table1[[#This Row],[Exit]],"Y"))</f>
        <v>5</v>
      </c>
      <c r="N752" t="str" cm="1">
        <f t="array" ref="N752">_xlfn.IFS(
AND(D752&gt;=26,D752&lt;=30),"26–30",
AND(D752&gt;=31,D752&lt;=35),"31–35",
AND(D752&gt;=36,D752&lt;=40),"36–40",
AND(D752&gt;=41,D752&lt;=45),"41–45",
AND(D752&gt;=46,D752&lt;=50),"46–50",
AND(D752&gt;=51,D752&lt;=60),"51–60")</f>
        <v>51–60</v>
      </c>
    </row>
    <row r="753" spans="1:14" x14ac:dyDescent="0.35">
      <c r="A753" t="s">
        <v>1475</v>
      </c>
      <c r="B753" t="s">
        <v>1476</v>
      </c>
      <c r="C753" t="s">
        <v>21</v>
      </c>
      <c r="D753">
        <v>35</v>
      </c>
      <c r="E753" t="s">
        <v>52</v>
      </c>
      <c r="F753" t="s">
        <v>16</v>
      </c>
      <c r="G753" t="s">
        <v>23</v>
      </c>
      <c r="H753" s="1">
        <v>43837</v>
      </c>
      <c r="J753">
        <v>416920</v>
      </c>
      <c r="K753">
        <v>0</v>
      </c>
      <c r="L753" t="s">
        <v>24</v>
      </c>
      <c r="M753">
        <f ca="1">IF(ISBLANK(Table1[[#This Row],[Exit]]),DATEDIF(Table1[[#This Row],[Hire]],TODAY(),"Y"),DATEDIF(Table1[[#This Row],[Hire]],Table1[[#This Row],[Exit]],"Y"))</f>
        <v>6</v>
      </c>
      <c r="N753" t="str" cm="1">
        <f t="array" ref="N753">_xlfn.IFS(
AND(D753&gt;=26,D753&lt;=30),"26–30",
AND(D753&gt;=31,D753&lt;=35),"31–35",
AND(D753&gt;=36,D753&lt;=40),"36–40",
AND(D753&gt;=41,D753&lt;=45),"41–45",
AND(D753&gt;=46,D753&lt;=50),"46–50",
AND(D753&gt;=51,D753&lt;=60),"51–60")</f>
        <v>31–35</v>
      </c>
    </row>
    <row r="754" spans="1:14" x14ac:dyDescent="0.35">
      <c r="A754" t="s">
        <v>1069</v>
      </c>
      <c r="B754" t="s">
        <v>1477</v>
      </c>
      <c r="C754" t="s">
        <v>21</v>
      </c>
      <c r="D754">
        <v>46</v>
      </c>
      <c r="E754" t="s">
        <v>66</v>
      </c>
      <c r="F754" t="s">
        <v>16</v>
      </c>
      <c r="G754" t="s">
        <v>34</v>
      </c>
      <c r="H754" s="1">
        <v>45206</v>
      </c>
      <c r="J754">
        <v>527380</v>
      </c>
      <c r="K754">
        <v>0.26</v>
      </c>
      <c r="L754" t="s">
        <v>24</v>
      </c>
      <c r="M754">
        <f ca="1">IF(ISBLANK(Table1[[#This Row],[Exit]]),DATEDIF(Table1[[#This Row],[Hire]],TODAY(),"Y"),DATEDIF(Table1[[#This Row],[Hire]],Table1[[#This Row],[Exit]],"Y"))</f>
        <v>2</v>
      </c>
      <c r="N754" t="str" cm="1">
        <f t="array" ref="N754">_xlfn.IFS(
AND(D754&gt;=26,D754&lt;=30),"26–30",
AND(D754&gt;=31,D754&lt;=35),"31–35",
AND(D754&gt;=36,D754&lt;=40),"36–40",
AND(D754&gt;=41,D754&lt;=45),"41–45",
AND(D754&gt;=46,D754&lt;=50),"46–50",
AND(D754&gt;=51,D754&lt;=60),"51–60")</f>
        <v>46–50</v>
      </c>
    </row>
    <row r="755" spans="1:14" x14ac:dyDescent="0.35">
      <c r="A755" t="s">
        <v>1280</v>
      </c>
      <c r="B755" t="s">
        <v>1478</v>
      </c>
      <c r="C755" t="s">
        <v>21</v>
      </c>
      <c r="D755">
        <v>46</v>
      </c>
      <c r="E755" t="s">
        <v>58</v>
      </c>
      <c r="F755" t="s">
        <v>43</v>
      </c>
      <c r="G755" t="s">
        <v>34</v>
      </c>
      <c r="H755" s="1">
        <v>44487</v>
      </c>
      <c r="J755">
        <v>154927</v>
      </c>
      <c r="K755">
        <v>0.13</v>
      </c>
      <c r="L755" t="s">
        <v>24</v>
      </c>
      <c r="M755">
        <f ca="1">IF(ISBLANK(Table1[[#This Row],[Exit]]),DATEDIF(Table1[[#This Row],[Hire]],TODAY(),"Y"),DATEDIF(Table1[[#This Row],[Hire]],Table1[[#This Row],[Exit]],"Y"))</f>
        <v>4</v>
      </c>
      <c r="N755" t="str" cm="1">
        <f t="array" ref="N755">_xlfn.IFS(
AND(D755&gt;=26,D755&lt;=30),"26–30",
AND(D755&gt;=31,D755&lt;=35),"31–35",
AND(D755&gt;=36,D755&lt;=40),"36–40",
AND(D755&gt;=41,D755&lt;=45),"41–45",
AND(D755&gt;=46,D755&lt;=50),"46–50",
AND(D755&gt;=51,D755&lt;=60),"51–60")</f>
        <v>46–50</v>
      </c>
    </row>
    <row r="756" spans="1:14" x14ac:dyDescent="0.35">
      <c r="A756" t="s">
        <v>1479</v>
      </c>
      <c r="B756" t="s">
        <v>1480</v>
      </c>
      <c r="C756" t="s">
        <v>21</v>
      </c>
      <c r="D756">
        <v>27</v>
      </c>
      <c r="E756" t="s">
        <v>66</v>
      </c>
      <c r="F756" t="s">
        <v>46</v>
      </c>
      <c r="G756" t="s">
        <v>23</v>
      </c>
      <c r="H756" s="1">
        <v>44791</v>
      </c>
      <c r="I756" s="1">
        <v>45337</v>
      </c>
      <c r="J756">
        <v>263479</v>
      </c>
      <c r="K756">
        <v>0</v>
      </c>
      <c r="L756" t="s">
        <v>18</v>
      </c>
      <c r="M756">
        <f ca="1">IF(ISBLANK(Table1[[#This Row],[Exit]]),DATEDIF(Table1[[#This Row],[Hire]],TODAY(),"Y"),DATEDIF(Table1[[#This Row],[Hire]],Table1[[#This Row],[Exit]],"Y"))</f>
        <v>1</v>
      </c>
      <c r="N756" t="str" cm="1">
        <f t="array" ref="N756">_xlfn.IFS(
AND(D756&gt;=26,D756&lt;=30),"26–30",
AND(D756&gt;=31,D756&lt;=35),"31–35",
AND(D756&gt;=36,D756&lt;=40),"36–40",
AND(D756&gt;=41,D756&lt;=45),"41–45",
AND(D756&gt;=46,D756&lt;=50),"46–50",
AND(D756&gt;=51,D756&lt;=60),"51–60")</f>
        <v>26–30</v>
      </c>
    </row>
    <row r="757" spans="1:14" x14ac:dyDescent="0.35">
      <c r="A757" t="s">
        <v>1481</v>
      </c>
      <c r="B757" t="s">
        <v>1482</v>
      </c>
      <c r="C757" t="s">
        <v>21</v>
      </c>
      <c r="D757">
        <v>30</v>
      </c>
      <c r="E757" t="s">
        <v>66</v>
      </c>
      <c r="F757" t="s">
        <v>49</v>
      </c>
      <c r="G757" t="s">
        <v>17</v>
      </c>
      <c r="H757" s="1">
        <v>43979</v>
      </c>
      <c r="I757" s="1">
        <v>45294</v>
      </c>
      <c r="J757">
        <v>278394</v>
      </c>
      <c r="K757">
        <v>0</v>
      </c>
      <c r="L757" t="s">
        <v>18</v>
      </c>
      <c r="M757">
        <f ca="1">IF(ISBLANK(Table1[[#This Row],[Exit]]),DATEDIF(Table1[[#This Row],[Hire]],TODAY(),"Y"),DATEDIF(Table1[[#This Row],[Hire]],Table1[[#This Row],[Exit]],"Y"))</f>
        <v>3</v>
      </c>
      <c r="N757" t="str" cm="1">
        <f t="array" ref="N757">_xlfn.IFS(
AND(D757&gt;=26,D757&lt;=30),"26–30",
AND(D757&gt;=31,D757&lt;=35),"31–35",
AND(D757&gt;=36,D757&lt;=40),"36–40",
AND(D757&gt;=41,D757&lt;=45),"41–45",
AND(D757&gt;=46,D757&lt;=50),"46–50",
AND(D757&gt;=51,D757&lt;=60),"51–60")</f>
        <v>26–30</v>
      </c>
    </row>
    <row r="758" spans="1:14" x14ac:dyDescent="0.35">
      <c r="A758" t="s">
        <v>1033</v>
      </c>
      <c r="B758" t="s">
        <v>1483</v>
      </c>
      <c r="C758" t="s">
        <v>21</v>
      </c>
      <c r="D758">
        <v>36</v>
      </c>
      <c r="E758" t="s">
        <v>58</v>
      </c>
      <c r="F758" t="s">
        <v>16</v>
      </c>
      <c r="G758" t="s">
        <v>53</v>
      </c>
      <c r="H758" s="1">
        <v>44811</v>
      </c>
      <c r="I758" s="1">
        <v>45206</v>
      </c>
      <c r="J758">
        <v>253478</v>
      </c>
      <c r="K758">
        <v>0.08</v>
      </c>
      <c r="L758" t="s">
        <v>18</v>
      </c>
      <c r="M758">
        <f ca="1">IF(ISBLANK(Table1[[#This Row],[Exit]]),DATEDIF(Table1[[#This Row],[Hire]],TODAY(),"Y"),DATEDIF(Table1[[#This Row],[Hire]],Table1[[#This Row],[Exit]],"Y"))</f>
        <v>1</v>
      </c>
      <c r="N758" t="str" cm="1">
        <f t="array" ref="N758">_xlfn.IFS(
AND(D758&gt;=26,D758&lt;=30),"26–30",
AND(D758&gt;=31,D758&lt;=35),"31–35",
AND(D758&gt;=36,D758&lt;=40),"36–40",
AND(D758&gt;=41,D758&lt;=45),"41–45",
AND(D758&gt;=46,D758&lt;=50),"46–50",
AND(D758&gt;=51,D758&lt;=60),"51–60")</f>
        <v>36–40</v>
      </c>
    </row>
    <row r="759" spans="1:14" x14ac:dyDescent="0.35">
      <c r="A759" t="s">
        <v>1484</v>
      </c>
      <c r="B759" t="s">
        <v>1485</v>
      </c>
      <c r="C759" t="s">
        <v>14</v>
      </c>
      <c r="D759">
        <v>45</v>
      </c>
      <c r="E759" t="s">
        <v>15</v>
      </c>
      <c r="F759" t="s">
        <v>46</v>
      </c>
      <c r="G759" t="s">
        <v>53</v>
      </c>
      <c r="H759" s="1">
        <v>44564</v>
      </c>
      <c r="I759" s="1">
        <v>45074</v>
      </c>
      <c r="J759">
        <v>254970</v>
      </c>
      <c r="K759">
        <v>0</v>
      </c>
      <c r="L759" t="s">
        <v>18</v>
      </c>
      <c r="M759">
        <f ca="1">IF(ISBLANK(Table1[[#This Row],[Exit]]),DATEDIF(Table1[[#This Row],[Hire]],TODAY(),"Y"),DATEDIF(Table1[[#This Row],[Hire]],Table1[[#This Row],[Exit]],"Y"))</f>
        <v>1</v>
      </c>
      <c r="N759" t="str" cm="1">
        <f t="array" ref="N759">_xlfn.IFS(
AND(D759&gt;=26,D759&lt;=30),"26–30",
AND(D759&gt;=31,D759&lt;=35),"31–35",
AND(D759&gt;=36,D759&lt;=40),"36–40",
AND(D759&gt;=41,D759&lt;=45),"41–45",
AND(D759&gt;=46,D759&lt;=50),"46–50",
AND(D759&gt;=51,D759&lt;=60),"51–60")</f>
        <v>41–45</v>
      </c>
    </row>
    <row r="760" spans="1:14" x14ac:dyDescent="0.35">
      <c r="A760" t="s">
        <v>1486</v>
      </c>
      <c r="B760" t="s">
        <v>1487</v>
      </c>
      <c r="C760" t="s">
        <v>41</v>
      </c>
      <c r="D760">
        <v>37</v>
      </c>
      <c r="E760" t="s">
        <v>22</v>
      </c>
      <c r="F760" t="s">
        <v>59</v>
      </c>
      <c r="G760" t="s">
        <v>34</v>
      </c>
      <c r="H760" s="1">
        <v>45074</v>
      </c>
      <c r="I760" s="1">
        <v>45401</v>
      </c>
      <c r="J760">
        <v>348920</v>
      </c>
      <c r="K760">
        <v>0.1</v>
      </c>
      <c r="L760" t="s">
        <v>18</v>
      </c>
      <c r="M760">
        <f ca="1">IF(ISBLANK(Table1[[#This Row],[Exit]]),DATEDIF(Table1[[#This Row],[Hire]],TODAY(),"Y"),DATEDIF(Table1[[#This Row],[Hire]],Table1[[#This Row],[Exit]],"Y"))</f>
        <v>0</v>
      </c>
      <c r="N760" t="str" cm="1">
        <f t="array" ref="N760">_xlfn.IFS(
AND(D760&gt;=26,D760&lt;=30),"26–30",
AND(D760&gt;=31,D760&lt;=35),"31–35",
AND(D760&gt;=36,D760&lt;=40),"36–40",
AND(D760&gt;=41,D760&lt;=45),"41–45",
AND(D760&gt;=46,D760&lt;=50),"46–50",
AND(D760&gt;=51,D760&lt;=60),"51–60")</f>
        <v>36–40</v>
      </c>
    </row>
    <row r="761" spans="1:14" x14ac:dyDescent="0.35">
      <c r="A761" t="s">
        <v>95</v>
      </c>
      <c r="B761" t="s">
        <v>1488</v>
      </c>
      <c r="C761" t="s">
        <v>14</v>
      </c>
      <c r="D761">
        <v>51</v>
      </c>
      <c r="E761" t="s">
        <v>81</v>
      </c>
      <c r="F761" t="s">
        <v>16</v>
      </c>
      <c r="G761" t="s">
        <v>23</v>
      </c>
      <c r="H761" s="1">
        <v>45245</v>
      </c>
      <c r="I761" s="1">
        <v>45412</v>
      </c>
      <c r="J761">
        <v>290379</v>
      </c>
      <c r="K761">
        <v>0</v>
      </c>
      <c r="L761" t="s">
        <v>18</v>
      </c>
      <c r="M761">
        <f ca="1">IF(ISBLANK(Table1[[#This Row],[Exit]]),DATEDIF(Table1[[#This Row],[Hire]],TODAY(),"Y"),DATEDIF(Table1[[#This Row],[Hire]],Table1[[#This Row],[Exit]],"Y"))</f>
        <v>0</v>
      </c>
      <c r="N761" t="str" cm="1">
        <f t="array" ref="N761">_xlfn.IFS(
AND(D761&gt;=26,D761&lt;=30),"26–30",
AND(D761&gt;=31,D761&lt;=35),"31–35",
AND(D761&gt;=36,D761&lt;=40),"36–40",
AND(D761&gt;=41,D761&lt;=45),"41–45",
AND(D761&gt;=46,D761&lt;=50),"46–50",
AND(D761&gt;=51,D761&lt;=60),"51–60")</f>
        <v>51–60</v>
      </c>
    </row>
    <row r="762" spans="1:14" x14ac:dyDescent="0.35">
      <c r="A762" t="s">
        <v>1489</v>
      </c>
      <c r="B762" t="s">
        <v>1490</v>
      </c>
      <c r="C762" t="s">
        <v>21</v>
      </c>
      <c r="D762">
        <v>56</v>
      </c>
      <c r="E762" t="s">
        <v>52</v>
      </c>
      <c r="F762" t="s">
        <v>16</v>
      </c>
      <c r="G762" t="s">
        <v>34</v>
      </c>
      <c r="H762" s="1">
        <v>43851</v>
      </c>
      <c r="I762" s="1">
        <v>45430</v>
      </c>
      <c r="J762">
        <v>315490</v>
      </c>
      <c r="K762">
        <v>0</v>
      </c>
      <c r="L762" t="s">
        <v>18</v>
      </c>
      <c r="M762">
        <f ca="1">IF(ISBLANK(Table1[[#This Row],[Exit]]),DATEDIF(Table1[[#This Row],[Hire]],TODAY(),"Y"),DATEDIF(Table1[[#This Row],[Hire]],Table1[[#This Row],[Exit]],"Y"))</f>
        <v>4</v>
      </c>
      <c r="N762" t="str" cm="1">
        <f t="array" ref="N762">_xlfn.IFS(
AND(D762&gt;=26,D762&lt;=30),"26–30",
AND(D762&gt;=31,D762&lt;=35),"31–35",
AND(D762&gt;=36,D762&lt;=40),"36–40",
AND(D762&gt;=41,D762&lt;=45),"41–45",
AND(D762&gt;=46,D762&lt;=50),"46–50",
AND(D762&gt;=51,D762&lt;=60),"51–60")</f>
        <v>51–60</v>
      </c>
    </row>
    <row r="763" spans="1:14" x14ac:dyDescent="0.35">
      <c r="A763" t="s">
        <v>1491</v>
      </c>
      <c r="B763" t="s">
        <v>1492</v>
      </c>
      <c r="C763" t="s">
        <v>41</v>
      </c>
      <c r="D763">
        <v>53</v>
      </c>
      <c r="E763" t="s">
        <v>66</v>
      </c>
      <c r="F763" t="s">
        <v>16</v>
      </c>
      <c r="G763" t="s">
        <v>17</v>
      </c>
      <c r="H763" s="1">
        <v>44476</v>
      </c>
      <c r="I763" s="1">
        <v>44815</v>
      </c>
      <c r="J763">
        <v>172398</v>
      </c>
      <c r="K763">
        <v>0</v>
      </c>
      <c r="L763" t="s">
        <v>18</v>
      </c>
      <c r="M763">
        <f ca="1">IF(ISBLANK(Table1[[#This Row],[Exit]]),DATEDIF(Table1[[#This Row],[Hire]],TODAY(),"Y"),DATEDIF(Table1[[#This Row],[Hire]],Table1[[#This Row],[Exit]],"Y"))</f>
        <v>0</v>
      </c>
      <c r="N763" t="str" cm="1">
        <f t="array" ref="N763">_xlfn.IFS(
AND(D763&gt;=26,D763&lt;=30),"26–30",
AND(D763&gt;=31,D763&lt;=35),"31–35",
AND(D763&gt;=36,D763&lt;=40),"36–40",
AND(D763&gt;=41,D763&lt;=45),"41–45",
AND(D763&gt;=46,D763&lt;=50),"46–50",
AND(D763&gt;=51,D763&lt;=60),"51–60")</f>
        <v>51–60</v>
      </c>
    </row>
    <row r="764" spans="1:14" x14ac:dyDescent="0.35">
      <c r="A764" t="s">
        <v>97</v>
      </c>
      <c r="B764" t="s">
        <v>1493</v>
      </c>
      <c r="C764" t="s">
        <v>14</v>
      </c>
      <c r="D764">
        <v>47</v>
      </c>
      <c r="E764" t="s">
        <v>31</v>
      </c>
      <c r="F764" t="s">
        <v>59</v>
      </c>
      <c r="G764" t="s">
        <v>23</v>
      </c>
      <c r="H764" s="1">
        <v>43940</v>
      </c>
      <c r="I764" s="1">
        <v>45206</v>
      </c>
      <c r="J764">
        <v>310274</v>
      </c>
      <c r="K764">
        <v>0</v>
      </c>
      <c r="L764" t="s">
        <v>18</v>
      </c>
      <c r="M764">
        <f ca="1">IF(ISBLANK(Table1[[#This Row],[Exit]]),DATEDIF(Table1[[#This Row],[Hire]],TODAY(),"Y"),DATEDIF(Table1[[#This Row],[Hire]],Table1[[#This Row],[Exit]],"Y"))</f>
        <v>3</v>
      </c>
      <c r="N764" t="str" cm="1">
        <f t="array" ref="N764">_xlfn.IFS(
AND(D764&gt;=26,D764&lt;=30),"26–30",
AND(D764&gt;=31,D764&lt;=35),"31–35",
AND(D764&gt;=36,D764&lt;=40),"36–40",
AND(D764&gt;=41,D764&lt;=45),"41–45",
AND(D764&gt;=46,D764&lt;=50),"46–50",
AND(D764&gt;=51,D764&lt;=60),"51–60")</f>
        <v>46–50</v>
      </c>
    </row>
    <row r="765" spans="1:14" x14ac:dyDescent="0.35">
      <c r="A765" t="s">
        <v>1494</v>
      </c>
      <c r="B765" t="s">
        <v>1495</v>
      </c>
      <c r="C765" t="s">
        <v>21</v>
      </c>
      <c r="D765">
        <v>36</v>
      </c>
      <c r="E765" t="s">
        <v>81</v>
      </c>
      <c r="F765" t="s">
        <v>16</v>
      </c>
      <c r="G765" t="s">
        <v>34</v>
      </c>
      <c r="H765" s="1">
        <v>44083</v>
      </c>
      <c r="I765" s="1">
        <v>45440</v>
      </c>
      <c r="J765">
        <v>371486</v>
      </c>
      <c r="K765">
        <v>0</v>
      </c>
      <c r="L765" t="s">
        <v>18</v>
      </c>
      <c r="M765">
        <f ca="1">IF(ISBLANK(Table1[[#This Row],[Exit]]),DATEDIF(Table1[[#This Row],[Hire]],TODAY(),"Y"),DATEDIF(Table1[[#This Row],[Hire]],Table1[[#This Row],[Exit]],"Y"))</f>
        <v>3</v>
      </c>
      <c r="N765" t="str" cm="1">
        <f t="array" ref="N765">_xlfn.IFS(
AND(D765&gt;=26,D765&lt;=30),"26–30",
AND(D765&gt;=31,D765&lt;=35),"31–35",
AND(D765&gt;=36,D765&lt;=40),"36–40",
AND(D765&gt;=41,D765&lt;=45),"41–45",
AND(D765&gt;=46,D765&lt;=50),"46–50",
AND(D765&gt;=51,D765&lt;=60),"51–60")</f>
        <v>36–40</v>
      </c>
    </row>
    <row r="766" spans="1:14" x14ac:dyDescent="0.35">
      <c r="A766" t="s">
        <v>1496</v>
      </c>
      <c r="B766" t="s">
        <v>1497</v>
      </c>
      <c r="C766" t="s">
        <v>21</v>
      </c>
      <c r="D766">
        <v>46</v>
      </c>
      <c r="E766" t="s">
        <v>92</v>
      </c>
      <c r="F766" t="s">
        <v>16</v>
      </c>
      <c r="G766" t="s">
        <v>53</v>
      </c>
      <c r="H766" s="1">
        <v>45233</v>
      </c>
      <c r="J766">
        <v>164920</v>
      </c>
      <c r="K766">
        <v>0</v>
      </c>
      <c r="L766" t="s">
        <v>24</v>
      </c>
      <c r="M766">
        <f ca="1">IF(ISBLANK(Table1[[#This Row],[Exit]]),DATEDIF(Table1[[#This Row],[Hire]],TODAY(),"Y"),DATEDIF(Table1[[#This Row],[Hire]],Table1[[#This Row],[Exit]],"Y"))</f>
        <v>2</v>
      </c>
      <c r="N766" t="str" cm="1">
        <f t="array" ref="N766">_xlfn.IFS(
AND(D766&gt;=26,D766&lt;=30),"26–30",
AND(D766&gt;=31,D766&lt;=35),"31–35",
AND(D766&gt;=36,D766&lt;=40),"36–40",
AND(D766&gt;=41,D766&lt;=45),"41–45",
AND(D766&gt;=46,D766&lt;=50),"46–50",
AND(D766&gt;=51,D766&lt;=60),"51–60")</f>
        <v>46–50</v>
      </c>
    </row>
    <row r="767" spans="1:14" x14ac:dyDescent="0.35">
      <c r="A767" t="s">
        <v>1498</v>
      </c>
      <c r="B767" t="s">
        <v>1499</v>
      </c>
      <c r="C767" t="s">
        <v>21</v>
      </c>
      <c r="D767">
        <v>46</v>
      </c>
      <c r="E767" t="s">
        <v>81</v>
      </c>
      <c r="F767" t="s">
        <v>59</v>
      </c>
      <c r="G767" t="s">
        <v>53</v>
      </c>
      <c r="H767" s="1">
        <v>45412</v>
      </c>
      <c r="J767">
        <v>274893</v>
      </c>
      <c r="K767">
        <v>0</v>
      </c>
      <c r="L767" t="s">
        <v>24</v>
      </c>
      <c r="M767">
        <f ca="1">IF(ISBLANK(Table1[[#This Row],[Exit]]),DATEDIF(Table1[[#This Row],[Hire]],TODAY(),"Y"),DATEDIF(Table1[[#This Row],[Hire]],Table1[[#This Row],[Exit]],"Y"))</f>
        <v>1</v>
      </c>
      <c r="N767" t="str" cm="1">
        <f t="array" ref="N767">_xlfn.IFS(
AND(D767&gt;=26,D767&lt;=30),"26–30",
AND(D767&gt;=31,D767&lt;=35),"31–35",
AND(D767&gt;=36,D767&lt;=40),"36–40",
AND(D767&gt;=41,D767&lt;=45),"41–45",
AND(D767&gt;=46,D767&lt;=50),"46–50",
AND(D767&gt;=51,D767&lt;=60),"51–60")</f>
        <v>46–50</v>
      </c>
    </row>
    <row r="768" spans="1:14" x14ac:dyDescent="0.35">
      <c r="A768" t="s">
        <v>1500</v>
      </c>
      <c r="B768" t="s">
        <v>1501</v>
      </c>
      <c r="C768" t="s">
        <v>21</v>
      </c>
      <c r="D768">
        <v>46</v>
      </c>
      <c r="E768" t="s">
        <v>22</v>
      </c>
      <c r="F768" t="s">
        <v>16</v>
      </c>
      <c r="G768" t="s">
        <v>53</v>
      </c>
      <c r="H768" s="1">
        <v>43887</v>
      </c>
      <c r="J768">
        <v>293476</v>
      </c>
      <c r="K768">
        <v>0</v>
      </c>
      <c r="L768" t="s">
        <v>24</v>
      </c>
      <c r="M768">
        <f ca="1">IF(ISBLANK(Table1[[#This Row],[Exit]]),DATEDIF(Table1[[#This Row],[Hire]],TODAY(),"Y"),DATEDIF(Table1[[#This Row],[Hire]],Table1[[#This Row],[Exit]],"Y"))</f>
        <v>5</v>
      </c>
      <c r="N768" t="str" cm="1">
        <f t="array" ref="N768">_xlfn.IFS(
AND(D768&gt;=26,D768&lt;=30),"26–30",
AND(D768&gt;=31,D768&lt;=35),"31–35",
AND(D768&gt;=36,D768&lt;=40),"36–40",
AND(D768&gt;=41,D768&lt;=45),"41–45",
AND(D768&gt;=46,D768&lt;=50),"46–50",
AND(D768&gt;=51,D768&lt;=60),"51–60")</f>
        <v>46–50</v>
      </c>
    </row>
    <row r="769" spans="1:14" x14ac:dyDescent="0.35">
      <c r="A769" t="s">
        <v>1502</v>
      </c>
      <c r="B769" t="s">
        <v>1503</v>
      </c>
      <c r="C769" t="s">
        <v>14</v>
      </c>
      <c r="D769">
        <v>38</v>
      </c>
      <c r="E769" t="s">
        <v>92</v>
      </c>
      <c r="F769" t="s">
        <v>16</v>
      </c>
      <c r="G769" t="s">
        <v>53</v>
      </c>
      <c r="H769" s="1">
        <v>44815</v>
      </c>
      <c r="J769">
        <v>315278</v>
      </c>
      <c r="K769">
        <v>0</v>
      </c>
      <c r="L769" t="s">
        <v>24</v>
      </c>
      <c r="M769">
        <f ca="1">IF(ISBLANK(Table1[[#This Row],[Exit]]),DATEDIF(Table1[[#This Row],[Hire]],TODAY(),"Y"),DATEDIF(Table1[[#This Row],[Hire]],Table1[[#This Row],[Exit]],"Y"))</f>
        <v>3</v>
      </c>
      <c r="N769" t="str" cm="1">
        <f t="array" ref="N769">_xlfn.IFS(
AND(D769&gt;=26,D769&lt;=30),"26–30",
AND(D769&gt;=31,D769&lt;=35),"31–35",
AND(D769&gt;=36,D769&lt;=40),"36–40",
AND(D769&gt;=41,D769&lt;=45),"41–45",
AND(D769&gt;=46,D769&lt;=50),"46–50",
AND(D769&gt;=51,D769&lt;=60),"51–60")</f>
        <v>36–40</v>
      </c>
    </row>
    <row r="770" spans="1:14" x14ac:dyDescent="0.35">
      <c r="A770" t="s">
        <v>1504</v>
      </c>
      <c r="B770" t="s">
        <v>1505</v>
      </c>
      <c r="C770" t="s">
        <v>21</v>
      </c>
      <c r="D770">
        <v>46</v>
      </c>
      <c r="E770" t="s">
        <v>31</v>
      </c>
      <c r="F770" t="s">
        <v>43</v>
      </c>
      <c r="G770" t="s">
        <v>53</v>
      </c>
      <c r="H770" s="1">
        <v>45430</v>
      </c>
      <c r="J770">
        <v>241879</v>
      </c>
      <c r="K770">
        <v>0</v>
      </c>
      <c r="L770" t="s">
        <v>24</v>
      </c>
      <c r="M770">
        <f ca="1">IF(ISBLANK(Table1[[#This Row],[Exit]]),DATEDIF(Table1[[#This Row],[Hire]],TODAY(),"Y"),DATEDIF(Table1[[#This Row],[Hire]],Table1[[#This Row],[Exit]],"Y"))</f>
        <v>1</v>
      </c>
      <c r="N770" t="str" cm="1">
        <f t="array" ref="N770">_xlfn.IFS(
AND(D770&gt;=26,D770&lt;=30),"26–30",
AND(D770&gt;=31,D770&lt;=35),"31–35",
AND(D770&gt;=36,D770&lt;=40),"36–40",
AND(D770&gt;=41,D770&lt;=45),"41–45",
AND(D770&gt;=46,D770&lt;=50),"46–50",
AND(D770&gt;=51,D770&lt;=60),"51–60")</f>
        <v>46–50</v>
      </c>
    </row>
    <row r="771" spans="1:14" x14ac:dyDescent="0.35">
      <c r="A771" t="s">
        <v>1506</v>
      </c>
      <c r="B771" t="s">
        <v>1507</v>
      </c>
      <c r="C771" t="s">
        <v>14</v>
      </c>
      <c r="D771">
        <v>39</v>
      </c>
      <c r="E771" t="s">
        <v>15</v>
      </c>
      <c r="F771" t="s">
        <v>16</v>
      </c>
      <c r="G771" t="s">
        <v>17</v>
      </c>
      <c r="H771" s="1">
        <v>44509</v>
      </c>
      <c r="J771">
        <v>153928</v>
      </c>
      <c r="K771">
        <v>0</v>
      </c>
      <c r="L771" t="s">
        <v>24</v>
      </c>
      <c r="M771">
        <f ca="1">IF(ISBLANK(Table1[[#This Row],[Exit]]),DATEDIF(Table1[[#This Row],[Hire]],TODAY(),"Y"),DATEDIF(Table1[[#This Row],[Hire]],Table1[[#This Row],[Exit]],"Y"))</f>
        <v>4</v>
      </c>
      <c r="N771" t="str" cm="1">
        <f t="array" ref="N771">_xlfn.IFS(
AND(D771&gt;=26,D771&lt;=30),"26–30",
AND(D771&gt;=31,D771&lt;=35),"31–35",
AND(D771&gt;=36,D771&lt;=40),"36–40",
AND(D771&gt;=41,D771&lt;=45),"41–45",
AND(D771&gt;=46,D771&lt;=50),"46–50",
AND(D771&gt;=51,D771&lt;=60),"51–60")</f>
        <v>36–40</v>
      </c>
    </row>
    <row r="772" spans="1:14" x14ac:dyDescent="0.35">
      <c r="A772" t="s">
        <v>709</v>
      </c>
      <c r="B772" t="s">
        <v>1508</v>
      </c>
      <c r="C772" t="s">
        <v>14</v>
      </c>
      <c r="D772">
        <v>31</v>
      </c>
      <c r="E772" t="s">
        <v>22</v>
      </c>
      <c r="F772" t="s">
        <v>16</v>
      </c>
      <c r="G772" t="s">
        <v>23</v>
      </c>
      <c r="H772" s="1">
        <v>43963</v>
      </c>
      <c r="J772">
        <v>520294</v>
      </c>
      <c r="K772">
        <v>0</v>
      </c>
      <c r="L772" t="s">
        <v>24</v>
      </c>
      <c r="M772">
        <f ca="1">IF(ISBLANK(Table1[[#This Row],[Exit]]),DATEDIF(Table1[[#This Row],[Hire]],TODAY(),"Y"),DATEDIF(Table1[[#This Row],[Hire]],Table1[[#This Row],[Exit]],"Y"))</f>
        <v>5</v>
      </c>
      <c r="N772" t="str" cm="1">
        <f t="array" ref="N772">_xlfn.IFS(
AND(D772&gt;=26,D772&lt;=30),"26–30",
AND(D772&gt;=31,D772&lt;=35),"31–35",
AND(D772&gt;=36,D772&lt;=40),"36–40",
AND(D772&gt;=41,D772&lt;=45),"41–45",
AND(D772&gt;=46,D772&lt;=50),"46–50",
AND(D772&gt;=51,D772&lt;=60),"51–60")</f>
        <v>31–35</v>
      </c>
    </row>
    <row r="773" spans="1:14" x14ac:dyDescent="0.35">
      <c r="A773" t="s">
        <v>1509</v>
      </c>
      <c r="B773" t="s">
        <v>1510</v>
      </c>
      <c r="C773" t="s">
        <v>14</v>
      </c>
      <c r="D773">
        <v>45</v>
      </c>
      <c r="E773" t="s">
        <v>27</v>
      </c>
      <c r="F773" t="s">
        <v>16</v>
      </c>
      <c r="G773" t="s">
        <v>53</v>
      </c>
      <c r="H773" s="1">
        <v>44815</v>
      </c>
      <c r="J773">
        <v>146279</v>
      </c>
      <c r="K773">
        <v>0</v>
      </c>
      <c r="L773" t="s">
        <v>24</v>
      </c>
      <c r="M773">
        <f ca="1">IF(ISBLANK(Table1[[#This Row],[Exit]]),DATEDIF(Table1[[#This Row],[Hire]],TODAY(),"Y"),DATEDIF(Table1[[#This Row],[Hire]],Table1[[#This Row],[Exit]],"Y"))</f>
        <v>3</v>
      </c>
      <c r="N773" t="str" cm="1">
        <f t="array" ref="N773">_xlfn.IFS(
AND(D773&gt;=26,D773&lt;=30),"26–30",
AND(D773&gt;=31,D773&lt;=35),"31–35",
AND(D773&gt;=36,D773&lt;=40),"36–40",
AND(D773&gt;=41,D773&lt;=45),"41–45",
AND(D773&gt;=46,D773&lt;=50),"46–50",
AND(D773&gt;=51,D773&lt;=60),"51–60")</f>
        <v>41–45</v>
      </c>
    </row>
    <row r="774" spans="1:14" x14ac:dyDescent="0.35">
      <c r="A774" t="s">
        <v>1357</v>
      </c>
      <c r="B774" t="s">
        <v>1511</v>
      </c>
      <c r="C774" t="s">
        <v>14</v>
      </c>
      <c r="D774">
        <v>50</v>
      </c>
      <c r="E774" t="s">
        <v>31</v>
      </c>
      <c r="F774" t="s">
        <v>49</v>
      </c>
      <c r="G774" t="s">
        <v>34</v>
      </c>
      <c r="H774" s="1">
        <v>44857</v>
      </c>
      <c r="J774">
        <v>357490</v>
      </c>
      <c r="K774">
        <v>0.06</v>
      </c>
      <c r="L774" t="s">
        <v>24</v>
      </c>
      <c r="M774">
        <f ca="1">IF(ISBLANK(Table1[[#This Row],[Exit]]),DATEDIF(Table1[[#This Row],[Hire]],TODAY(),"Y"),DATEDIF(Table1[[#This Row],[Hire]],Table1[[#This Row],[Exit]],"Y"))</f>
        <v>3</v>
      </c>
      <c r="N774" t="str" cm="1">
        <f t="array" ref="N774">_xlfn.IFS(
AND(D774&gt;=26,D774&lt;=30),"26–30",
AND(D774&gt;=31,D774&lt;=35),"31–35",
AND(D774&gt;=36,D774&lt;=40),"36–40",
AND(D774&gt;=41,D774&lt;=45),"41–45",
AND(D774&gt;=46,D774&lt;=50),"46–50",
AND(D774&gt;=51,D774&lt;=60),"51–60")</f>
        <v>46–50</v>
      </c>
    </row>
    <row r="775" spans="1:14" x14ac:dyDescent="0.35">
      <c r="A775" t="s">
        <v>1512</v>
      </c>
      <c r="B775" t="s">
        <v>1513</v>
      </c>
      <c r="C775" t="s">
        <v>21</v>
      </c>
      <c r="D775">
        <v>36</v>
      </c>
      <c r="E775" t="s">
        <v>27</v>
      </c>
      <c r="F775" t="s">
        <v>59</v>
      </c>
      <c r="G775" t="s">
        <v>53</v>
      </c>
      <c r="H775" s="1">
        <v>45527</v>
      </c>
      <c r="J775">
        <v>350927</v>
      </c>
      <c r="K775">
        <v>0.05</v>
      </c>
      <c r="L775" t="s">
        <v>24</v>
      </c>
      <c r="M775">
        <f ca="1">IF(ISBLANK(Table1[[#This Row],[Exit]]),DATEDIF(Table1[[#This Row],[Hire]],TODAY(),"Y"),DATEDIF(Table1[[#This Row],[Hire]],Table1[[#This Row],[Exit]],"Y"))</f>
        <v>1</v>
      </c>
      <c r="N775" t="str" cm="1">
        <f t="array" ref="N775">_xlfn.IFS(
AND(D775&gt;=26,D775&lt;=30),"26–30",
AND(D775&gt;=31,D775&lt;=35),"31–35",
AND(D775&gt;=36,D775&lt;=40),"36–40",
AND(D775&gt;=41,D775&lt;=45),"41–45",
AND(D775&gt;=46,D775&lt;=50),"46–50",
AND(D775&gt;=51,D775&lt;=60),"51–60")</f>
        <v>36–40</v>
      </c>
    </row>
    <row r="776" spans="1:14" x14ac:dyDescent="0.35">
      <c r="A776" t="s">
        <v>1514</v>
      </c>
      <c r="B776" t="s">
        <v>1515</v>
      </c>
      <c r="C776" t="s">
        <v>14</v>
      </c>
      <c r="D776">
        <v>45</v>
      </c>
      <c r="E776" t="s">
        <v>15</v>
      </c>
      <c r="F776" t="s">
        <v>46</v>
      </c>
      <c r="G776" t="s">
        <v>23</v>
      </c>
      <c r="H776" s="1">
        <v>45237</v>
      </c>
      <c r="J776">
        <v>216478</v>
      </c>
      <c r="K776">
        <v>0</v>
      </c>
      <c r="L776" t="s">
        <v>24</v>
      </c>
      <c r="M776">
        <f ca="1">IF(ISBLANK(Table1[[#This Row],[Exit]]),DATEDIF(Table1[[#This Row],[Hire]],TODAY(),"Y"),DATEDIF(Table1[[#This Row],[Hire]],Table1[[#This Row],[Exit]],"Y"))</f>
        <v>2</v>
      </c>
      <c r="N776" t="str" cm="1">
        <f t="array" ref="N776">_xlfn.IFS(
AND(D776&gt;=26,D776&lt;=30),"26–30",
AND(D776&gt;=31,D776&lt;=35),"31–35",
AND(D776&gt;=36,D776&lt;=40),"36–40",
AND(D776&gt;=41,D776&lt;=45),"41–45",
AND(D776&gt;=46,D776&lt;=50),"46–50",
AND(D776&gt;=51,D776&lt;=60),"51–60")</f>
        <v>41–45</v>
      </c>
    </row>
    <row r="777" spans="1:14" x14ac:dyDescent="0.35">
      <c r="A777" t="s">
        <v>1516</v>
      </c>
      <c r="B777" t="s">
        <v>1517</v>
      </c>
      <c r="C777" t="s">
        <v>21</v>
      </c>
      <c r="D777">
        <v>46</v>
      </c>
      <c r="E777" t="s">
        <v>15</v>
      </c>
      <c r="F777" t="s">
        <v>16</v>
      </c>
      <c r="G777" t="s">
        <v>34</v>
      </c>
      <c r="H777" s="1">
        <v>45206</v>
      </c>
      <c r="J777">
        <v>354979</v>
      </c>
      <c r="K777">
        <v>0.13</v>
      </c>
      <c r="L777" t="s">
        <v>24</v>
      </c>
      <c r="M777">
        <f ca="1">IF(ISBLANK(Table1[[#This Row],[Exit]]),DATEDIF(Table1[[#This Row],[Hire]],TODAY(),"Y"),DATEDIF(Table1[[#This Row],[Hire]],Table1[[#This Row],[Exit]],"Y"))</f>
        <v>2</v>
      </c>
      <c r="N777" t="str" cm="1">
        <f t="array" ref="N777">_xlfn.IFS(
AND(D777&gt;=26,D777&lt;=30),"26–30",
AND(D777&gt;=31,D777&lt;=35),"31–35",
AND(D777&gt;=36,D777&lt;=40),"36–40",
AND(D777&gt;=41,D777&lt;=45),"41–45",
AND(D777&gt;=46,D777&lt;=50),"46–50",
AND(D777&gt;=51,D777&lt;=60),"51–60")</f>
        <v>46–50</v>
      </c>
    </row>
    <row r="778" spans="1:14" x14ac:dyDescent="0.35">
      <c r="A778" t="s">
        <v>1518</v>
      </c>
      <c r="B778" t="s">
        <v>1519</v>
      </c>
      <c r="C778" t="s">
        <v>14</v>
      </c>
      <c r="D778">
        <v>41</v>
      </c>
      <c r="E778" t="s">
        <v>42</v>
      </c>
      <c r="F778" t="s">
        <v>59</v>
      </c>
      <c r="G778" t="s">
        <v>34</v>
      </c>
      <c r="H778" s="1">
        <v>44677</v>
      </c>
      <c r="I778" s="1">
        <v>45440</v>
      </c>
      <c r="J778">
        <v>372960</v>
      </c>
      <c r="K778">
        <v>0.2</v>
      </c>
      <c r="L778" t="s">
        <v>18</v>
      </c>
      <c r="M778">
        <f ca="1">IF(ISBLANK(Table1[[#This Row],[Exit]]),DATEDIF(Table1[[#This Row],[Hire]],TODAY(),"Y"),DATEDIF(Table1[[#This Row],[Hire]],Table1[[#This Row],[Exit]],"Y"))</f>
        <v>2</v>
      </c>
      <c r="N778" t="str" cm="1">
        <f t="array" ref="N778">_xlfn.IFS(
AND(D778&gt;=26,D778&lt;=30),"26–30",
AND(D778&gt;=31,D778&lt;=35),"31–35",
AND(D778&gt;=36,D778&lt;=40),"36–40",
AND(D778&gt;=41,D778&lt;=45),"41–45",
AND(D778&gt;=46,D778&lt;=50),"46–50",
AND(D778&gt;=51,D778&lt;=60),"51–60")</f>
        <v>41–45</v>
      </c>
    </row>
    <row r="779" spans="1:14" x14ac:dyDescent="0.35">
      <c r="A779" t="s">
        <v>1520</v>
      </c>
      <c r="B779" t="s">
        <v>1521</v>
      </c>
      <c r="C779" t="s">
        <v>21</v>
      </c>
      <c r="D779">
        <v>47</v>
      </c>
      <c r="E779" t="s">
        <v>42</v>
      </c>
      <c r="F779" t="s">
        <v>16</v>
      </c>
      <c r="G779" t="s">
        <v>17</v>
      </c>
      <c r="H779" s="1">
        <v>43889</v>
      </c>
      <c r="I779" s="1">
        <v>45206</v>
      </c>
      <c r="J779">
        <v>315479</v>
      </c>
      <c r="K779">
        <v>0</v>
      </c>
      <c r="L779" t="s">
        <v>18</v>
      </c>
      <c r="M779">
        <f ca="1">IF(ISBLANK(Table1[[#This Row],[Exit]]),DATEDIF(Table1[[#This Row],[Hire]],TODAY(),"Y"),DATEDIF(Table1[[#This Row],[Hire]],Table1[[#This Row],[Exit]],"Y"))</f>
        <v>3</v>
      </c>
      <c r="N779" t="str" cm="1">
        <f t="array" ref="N779">_xlfn.IFS(
AND(D779&gt;=26,D779&lt;=30),"26–30",
AND(D779&gt;=31,D779&lt;=35),"31–35",
AND(D779&gt;=36,D779&lt;=40),"36–40",
AND(D779&gt;=41,D779&lt;=45),"41–45",
AND(D779&gt;=46,D779&lt;=50),"46–50",
AND(D779&gt;=51,D779&lt;=60),"51–60")</f>
        <v>46–50</v>
      </c>
    </row>
    <row r="780" spans="1:14" x14ac:dyDescent="0.35">
      <c r="A780" t="s">
        <v>1522</v>
      </c>
      <c r="B780" t="s">
        <v>1523</v>
      </c>
      <c r="C780" t="s">
        <v>21</v>
      </c>
      <c r="D780">
        <v>38</v>
      </c>
      <c r="E780" t="s">
        <v>42</v>
      </c>
      <c r="F780" t="s">
        <v>16</v>
      </c>
      <c r="G780" t="s">
        <v>17</v>
      </c>
      <c r="H780" s="1">
        <v>44116</v>
      </c>
      <c r="J780">
        <v>284769</v>
      </c>
      <c r="K780">
        <v>0</v>
      </c>
      <c r="L780" t="s">
        <v>24</v>
      </c>
      <c r="M780">
        <f ca="1">IF(ISBLANK(Table1[[#This Row],[Exit]]),DATEDIF(Table1[[#This Row],[Hire]],TODAY(),"Y"),DATEDIF(Table1[[#This Row],[Hire]],Table1[[#This Row],[Exit]],"Y"))</f>
        <v>5</v>
      </c>
      <c r="N780" t="str" cm="1">
        <f t="array" ref="N780">_xlfn.IFS(
AND(D780&gt;=26,D780&lt;=30),"26–30",
AND(D780&gt;=31,D780&lt;=35),"31–35",
AND(D780&gt;=36,D780&lt;=40),"36–40",
AND(D780&gt;=41,D780&lt;=45),"41–45",
AND(D780&gt;=46,D780&lt;=50),"46–50",
AND(D780&gt;=51,D780&lt;=60),"51–60")</f>
        <v>36–40</v>
      </c>
    </row>
    <row r="781" spans="1:14" x14ac:dyDescent="0.35">
      <c r="A781" t="s">
        <v>121</v>
      </c>
      <c r="B781" t="s">
        <v>1524</v>
      </c>
      <c r="C781" t="s">
        <v>41</v>
      </c>
      <c r="D781">
        <v>40</v>
      </c>
      <c r="E781" t="s">
        <v>52</v>
      </c>
      <c r="F781" t="s">
        <v>16</v>
      </c>
      <c r="G781" t="s">
        <v>23</v>
      </c>
      <c r="H781" s="1">
        <v>44588</v>
      </c>
      <c r="J781">
        <v>467829</v>
      </c>
      <c r="K781">
        <v>0</v>
      </c>
      <c r="L781" t="s">
        <v>24</v>
      </c>
      <c r="M781">
        <f ca="1">IF(ISBLANK(Table1[[#This Row],[Exit]]),DATEDIF(Table1[[#This Row],[Hire]],TODAY(),"Y"),DATEDIF(Table1[[#This Row],[Hire]],Table1[[#This Row],[Exit]],"Y"))</f>
        <v>4</v>
      </c>
      <c r="N781" t="str" cm="1">
        <f t="array" ref="N781">_xlfn.IFS(
AND(D781&gt;=26,D781&lt;=30),"26–30",
AND(D781&gt;=31,D781&lt;=35),"31–35",
AND(D781&gt;=36,D781&lt;=40),"36–40",
AND(D781&gt;=41,D781&lt;=45),"41–45",
AND(D781&gt;=46,D781&lt;=50),"46–50",
AND(D781&gt;=51,D781&lt;=60),"51–60")</f>
        <v>36–40</v>
      </c>
    </row>
    <row r="782" spans="1:14" x14ac:dyDescent="0.35">
      <c r="A782" t="s">
        <v>99</v>
      </c>
      <c r="B782" t="s">
        <v>1525</v>
      </c>
      <c r="C782" t="s">
        <v>14</v>
      </c>
      <c r="D782">
        <v>45</v>
      </c>
      <c r="E782" t="s">
        <v>42</v>
      </c>
      <c r="F782" t="s">
        <v>28</v>
      </c>
      <c r="G782" t="s">
        <v>17</v>
      </c>
      <c r="H782" s="1">
        <v>45337</v>
      </c>
      <c r="J782">
        <v>325780</v>
      </c>
      <c r="K782">
        <v>0</v>
      </c>
      <c r="L782" t="s">
        <v>24</v>
      </c>
      <c r="M782">
        <f ca="1">IF(ISBLANK(Table1[[#This Row],[Exit]]),DATEDIF(Table1[[#This Row],[Hire]],TODAY(),"Y"),DATEDIF(Table1[[#This Row],[Hire]],Table1[[#This Row],[Exit]],"Y"))</f>
        <v>1</v>
      </c>
      <c r="N782" t="str" cm="1">
        <f t="array" ref="N782">_xlfn.IFS(
AND(D782&gt;=26,D782&lt;=30),"26–30",
AND(D782&gt;=31,D782&lt;=35),"31–35",
AND(D782&gt;=36,D782&lt;=40),"36–40",
AND(D782&gt;=41,D782&lt;=45),"41–45",
AND(D782&gt;=46,D782&lt;=50),"46–50",
AND(D782&gt;=51,D782&lt;=60),"51–60")</f>
        <v>41–45</v>
      </c>
    </row>
    <row r="783" spans="1:14" x14ac:dyDescent="0.35">
      <c r="A783" t="s">
        <v>1526</v>
      </c>
      <c r="B783" t="s">
        <v>1527</v>
      </c>
      <c r="C783" t="s">
        <v>41</v>
      </c>
      <c r="D783">
        <v>26</v>
      </c>
      <c r="E783" t="s">
        <v>58</v>
      </c>
      <c r="F783" t="s">
        <v>16</v>
      </c>
      <c r="G783" t="s">
        <v>23</v>
      </c>
      <c r="H783" s="1">
        <v>44602</v>
      </c>
      <c r="I783" s="1">
        <v>45440</v>
      </c>
      <c r="J783">
        <v>203948</v>
      </c>
      <c r="K783">
        <v>0.09</v>
      </c>
      <c r="L783" t="s">
        <v>18</v>
      </c>
      <c r="M783">
        <f ca="1">IF(ISBLANK(Table1[[#This Row],[Exit]]),DATEDIF(Table1[[#This Row],[Hire]],TODAY(),"Y"),DATEDIF(Table1[[#This Row],[Hire]],Table1[[#This Row],[Exit]],"Y"))</f>
        <v>2</v>
      </c>
      <c r="N783" t="str" cm="1">
        <f t="array" ref="N783">_xlfn.IFS(
AND(D783&gt;=26,D783&lt;=30),"26–30",
AND(D783&gt;=31,D783&lt;=35),"31–35",
AND(D783&gt;=36,D783&lt;=40),"36–40",
AND(D783&gt;=41,D783&lt;=45),"41–45",
AND(D783&gt;=46,D783&lt;=50),"46–50",
AND(D783&gt;=51,D783&lt;=60),"51–60")</f>
        <v>26–30</v>
      </c>
    </row>
    <row r="784" spans="1:14" x14ac:dyDescent="0.35">
      <c r="A784" t="s">
        <v>1528</v>
      </c>
      <c r="B784" t="s">
        <v>1529</v>
      </c>
      <c r="C784" t="s">
        <v>14</v>
      </c>
      <c r="D784">
        <v>35</v>
      </c>
      <c r="E784" t="s">
        <v>52</v>
      </c>
      <c r="F784" t="s">
        <v>28</v>
      </c>
      <c r="G784" t="s">
        <v>34</v>
      </c>
      <c r="H784" s="1">
        <v>44183</v>
      </c>
      <c r="J784">
        <v>275394</v>
      </c>
      <c r="K784">
        <v>0</v>
      </c>
      <c r="L784" t="s">
        <v>24</v>
      </c>
      <c r="M784">
        <f ca="1">IF(ISBLANK(Table1[[#This Row],[Exit]]),DATEDIF(Table1[[#This Row],[Hire]],TODAY(),"Y"),DATEDIF(Table1[[#This Row],[Hire]],Table1[[#This Row],[Exit]],"Y"))</f>
        <v>5</v>
      </c>
      <c r="N784" t="str" cm="1">
        <f t="array" ref="N784">_xlfn.IFS(
AND(D784&gt;=26,D784&lt;=30),"26–30",
AND(D784&gt;=31,D784&lt;=35),"31–35",
AND(D784&gt;=36,D784&lt;=40),"36–40",
AND(D784&gt;=41,D784&lt;=45),"41–45",
AND(D784&gt;=46,D784&lt;=50),"46–50",
AND(D784&gt;=51,D784&lt;=60),"51–60")</f>
        <v>31–35</v>
      </c>
    </row>
    <row r="785" spans="1:14" x14ac:dyDescent="0.35">
      <c r="A785" t="s">
        <v>1530</v>
      </c>
      <c r="B785" t="s">
        <v>1531</v>
      </c>
      <c r="C785" t="s">
        <v>21</v>
      </c>
      <c r="D785">
        <v>46</v>
      </c>
      <c r="E785" t="s">
        <v>52</v>
      </c>
      <c r="F785" t="s">
        <v>16</v>
      </c>
      <c r="G785" t="s">
        <v>23</v>
      </c>
      <c r="H785" s="1">
        <v>43837</v>
      </c>
      <c r="J785">
        <v>241896</v>
      </c>
      <c r="K785">
        <v>0.15</v>
      </c>
      <c r="L785" t="s">
        <v>24</v>
      </c>
      <c r="M785">
        <f ca="1">IF(ISBLANK(Table1[[#This Row],[Exit]]),DATEDIF(Table1[[#This Row],[Hire]],TODAY(),"Y"),DATEDIF(Table1[[#This Row],[Hire]],Table1[[#This Row],[Exit]],"Y"))</f>
        <v>6</v>
      </c>
      <c r="N785" t="str" cm="1">
        <f t="array" ref="N785">_xlfn.IFS(
AND(D785&gt;=26,D785&lt;=30),"26–30",
AND(D785&gt;=31,D785&lt;=35),"31–35",
AND(D785&gt;=36,D785&lt;=40),"36–40",
AND(D785&gt;=41,D785&lt;=45),"41–45",
AND(D785&gt;=46,D785&lt;=50),"46–50",
AND(D785&gt;=51,D785&lt;=60),"51–60")</f>
        <v>46–50</v>
      </c>
    </row>
    <row r="786" spans="1:14" x14ac:dyDescent="0.35">
      <c r="A786" t="s">
        <v>1532</v>
      </c>
      <c r="B786" t="s">
        <v>1533</v>
      </c>
      <c r="C786" t="s">
        <v>21</v>
      </c>
      <c r="D786">
        <v>35</v>
      </c>
      <c r="E786" t="s">
        <v>66</v>
      </c>
      <c r="F786" t="s">
        <v>16</v>
      </c>
      <c r="G786" t="s">
        <v>34</v>
      </c>
      <c r="H786" s="1">
        <v>45206</v>
      </c>
      <c r="J786">
        <v>314920</v>
      </c>
      <c r="K786">
        <v>0</v>
      </c>
      <c r="L786" t="s">
        <v>24</v>
      </c>
      <c r="M786">
        <f ca="1">IF(ISBLANK(Table1[[#This Row],[Exit]]),DATEDIF(Table1[[#This Row],[Hire]],TODAY(),"Y"),DATEDIF(Table1[[#This Row],[Hire]],Table1[[#This Row],[Exit]],"Y"))</f>
        <v>2</v>
      </c>
      <c r="N786" t="str" cm="1">
        <f t="array" ref="N786">_xlfn.IFS(
AND(D786&gt;=26,D786&lt;=30),"26–30",
AND(D786&gt;=31,D786&lt;=35),"31–35",
AND(D786&gt;=36,D786&lt;=40),"36–40",
AND(D786&gt;=41,D786&lt;=45),"41–45",
AND(D786&gt;=46,D786&lt;=50),"46–50",
AND(D786&gt;=51,D786&lt;=60),"51–60")</f>
        <v>31–35</v>
      </c>
    </row>
    <row r="787" spans="1:14" x14ac:dyDescent="0.35">
      <c r="A787" t="s">
        <v>848</v>
      </c>
      <c r="B787" t="s">
        <v>1534</v>
      </c>
      <c r="C787" t="s">
        <v>21</v>
      </c>
      <c r="D787">
        <v>46</v>
      </c>
      <c r="E787" t="s">
        <v>58</v>
      </c>
      <c r="F787" t="s">
        <v>43</v>
      </c>
      <c r="G787" t="s">
        <v>34</v>
      </c>
      <c r="H787" s="1">
        <v>44487</v>
      </c>
      <c r="J787">
        <v>245973</v>
      </c>
      <c r="K787">
        <v>0.26</v>
      </c>
      <c r="L787" t="s">
        <v>24</v>
      </c>
      <c r="M787">
        <f ca="1">IF(ISBLANK(Table1[[#This Row],[Exit]]),DATEDIF(Table1[[#This Row],[Hire]],TODAY(),"Y"),DATEDIF(Table1[[#This Row],[Hire]],Table1[[#This Row],[Exit]],"Y"))</f>
        <v>4</v>
      </c>
      <c r="N787" t="str" cm="1">
        <f t="array" ref="N787">_xlfn.IFS(
AND(D787&gt;=26,D787&lt;=30),"26–30",
AND(D787&gt;=31,D787&lt;=35),"31–35",
AND(D787&gt;=36,D787&lt;=40),"36–40",
AND(D787&gt;=41,D787&lt;=45),"41–45",
AND(D787&gt;=46,D787&lt;=50),"46–50",
AND(D787&gt;=51,D787&lt;=60),"51–60")</f>
        <v>46–50</v>
      </c>
    </row>
    <row r="788" spans="1:14" x14ac:dyDescent="0.35">
      <c r="A788" t="s">
        <v>1535</v>
      </c>
      <c r="B788" t="s">
        <v>1536</v>
      </c>
      <c r="C788" t="s">
        <v>21</v>
      </c>
      <c r="D788">
        <v>46</v>
      </c>
      <c r="E788" t="s">
        <v>66</v>
      </c>
      <c r="F788" t="s">
        <v>46</v>
      </c>
      <c r="G788" t="s">
        <v>23</v>
      </c>
      <c r="H788" s="1">
        <v>44791</v>
      </c>
      <c r="J788">
        <v>186470</v>
      </c>
      <c r="K788">
        <v>0</v>
      </c>
      <c r="L788" t="s">
        <v>24</v>
      </c>
      <c r="M788">
        <f ca="1">IF(ISBLANK(Table1[[#This Row],[Exit]]),DATEDIF(Table1[[#This Row],[Hire]],TODAY(),"Y"),DATEDIF(Table1[[#This Row],[Hire]],Table1[[#This Row],[Exit]],"Y"))</f>
        <v>3</v>
      </c>
      <c r="N788" t="str" cm="1">
        <f t="array" ref="N788">_xlfn.IFS(
AND(D788&gt;=26,D788&lt;=30),"26–30",
AND(D788&gt;=31,D788&lt;=35),"31–35",
AND(D788&gt;=36,D788&lt;=40),"36–40",
AND(D788&gt;=41,D788&lt;=45),"41–45",
AND(D788&gt;=46,D788&lt;=50),"46–50",
AND(D788&gt;=51,D788&lt;=60),"51–60")</f>
        <v>46–50</v>
      </c>
    </row>
    <row r="789" spans="1:14" x14ac:dyDescent="0.35">
      <c r="A789" t="s">
        <v>1537</v>
      </c>
      <c r="B789" t="s">
        <v>1538</v>
      </c>
      <c r="C789" t="s">
        <v>21</v>
      </c>
      <c r="D789">
        <v>46</v>
      </c>
      <c r="E789" t="s">
        <v>66</v>
      </c>
      <c r="F789" t="s">
        <v>49</v>
      </c>
      <c r="G789" t="s">
        <v>17</v>
      </c>
      <c r="H789" s="1">
        <v>45440</v>
      </c>
      <c r="J789">
        <v>162398</v>
      </c>
      <c r="K789">
        <v>0.12</v>
      </c>
      <c r="L789" t="s">
        <v>24</v>
      </c>
      <c r="M789">
        <f ca="1">IF(ISBLANK(Table1[[#This Row],[Exit]]),DATEDIF(Table1[[#This Row],[Hire]],TODAY(),"Y"),DATEDIF(Table1[[#This Row],[Hire]],Table1[[#This Row],[Exit]],"Y"))</f>
        <v>1</v>
      </c>
      <c r="N789" t="str" cm="1">
        <f t="array" ref="N789">_xlfn.IFS(
AND(D789&gt;=26,D789&lt;=30),"26–30",
AND(D789&gt;=31,D789&lt;=35),"31–35",
AND(D789&gt;=36,D789&lt;=40),"36–40",
AND(D789&gt;=41,D789&lt;=45),"41–45",
AND(D789&gt;=46,D789&lt;=50),"46–50",
AND(D789&gt;=51,D789&lt;=60),"51–60")</f>
        <v>46–50</v>
      </c>
    </row>
    <row r="790" spans="1:14" x14ac:dyDescent="0.35">
      <c r="A790" t="s">
        <v>1539</v>
      </c>
      <c r="B790" t="s">
        <v>1540</v>
      </c>
      <c r="C790" t="s">
        <v>21</v>
      </c>
      <c r="D790">
        <v>46</v>
      </c>
      <c r="E790" t="s">
        <v>58</v>
      </c>
      <c r="F790" t="s">
        <v>16</v>
      </c>
      <c r="G790" t="s">
        <v>53</v>
      </c>
      <c r="H790" s="1">
        <v>44811</v>
      </c>
      <c r="J790">
        <v>371972</v>
      </c>
      <c r="K790">
        <v>0</v>
      </c>
      <c r="L790" t="s">
        <v>24</v>
      </c>
      <c r="M790">
        <f ca="1">IF(ISBLANK(Table1[[#This Row],[Exit]]),DATEDIF(Table1[[#This Row],[Hire]],TODAY(),"Y"),DATEDIF(Table1[[#This Row],[Hire]],Table1[[#This Row],[Exit]],"Y"))</f>
        <v>3</v>
      </c>
      <c r="N790" t="str" cm="1">
        <f t="array" ref="N790">_xlfn.IFS(
AND(D790&gt;=26,D790&lt;=30),"26–30",
AND(D790&gt;=31,D790&lt;=35),"31–35",
AND(D790&gt;=36,D790&lt;=40),"36–40",
AND(D790&gt;=41,D790&lt;=45),"41–45",
AND(D790&gt;=46,D790&lt;=50),"46–50",
AND(D790&gt;=51,D790&lt;=60),"51–60")</f>
        <v>46–50</v>
      </c>
    </row>
    <row r="791" spans="1:14" x14ac:dyDescent="0.35">
      <c r="A791" t="s">
        <v>1541</v>
      </c>
      <c r="B791" t="s">
        <v>1542</v>
      </c>
      <c r="C791" t="s">
        <v>14</v>
      </c>
      <c r="D791">
        <v>36</v>
      </c>
      <c r="E791" t="s">
        <v>15</v>
      </c>
      <c r="F791" t="s">
        <v>46</v>
      </c>
      <c r="G791" t="s">
        <v>53</v>
      </c>
      <c r="H791" s="1">
        <v>45294</v>
      </c>
      <c r="J791">
        <v>270384</v>
      </c>
      <c r="K791">
        <v>0</v>
      </c>
      <c r="L791" t="s">
        <v>24</v>
      </c>
      <c r="M791">
        <f ca="1">IF(ISBLANK(Table1[[#This Row],[Exit]]),DATEDIF(Table1[[#This Row],[Hire]],TODAY(),"Y"),DATEDIF(Table1[[#This Row],[Hire]],Table1[[#This Row],[Exit]],"Y"))</f>
        <v>2</v>
      </c>
      <c r="N791" t="str" cm="1">
        <f t="array" ref="N791">_xlfn.IFS(
AND(D791&gt;=26,D791&lt;=30),"26–30",
AND(D791&gt;=31,D791&lt;=35),"31–35",
AND(D791&gt;=36,D791&lt;=40),"36–40",
AND(D791&gt;=41,D791&lt;=45),"41–45",
AND(D791&gt;=46,D791&lt;=50),"46–50",
AND(D791&gt;=51,D791&lt;=60),"51–60")</f>
        <v>36–40</v>
      </c>
    </row>
    <row r="792" spans="1:14" x14ac:dyDescent="0.35">
      <c r="A792" t="s">
        <v>1543</v>
      </c>
      <c r="B792" t="s">
        <v>1544</v>
      </c>
      <c r="C792" t="s">
        <v>41</v>
      </c>
      <c r="D792">
        <v>46</v>
      </c>
      <c r="E792" t="s">
        <v>22</v>
      </c>
      <c r="F792" t="s">
        <v>59</v>
      </c>
      <c r="G792" t="s">
        <v>34</v>
      </c>
      <c r="H792" s="1">
        <v>45074</v>
      </c>
      <c r="J792">
        <v>174290</v>
      </c>
      <c r="K792">
        <v>0</v>
      </c>
      <c r="L792" t="s">
        <v>24</v>
      </c>
      <c r="M792">
        <f ca="1">IF(ISBLANK(Table1[[#This Row],[Exit]]),DATEDIF(Table1[[#This Row],[Hire]],TODAY(),"Y"),DATEDIF(Table1[[#This Row],[Hire]],Table1[[#This Row],[Exit]],"Y"))</f>
        <v>2</v>
      </c>
      <c r="N792" t="str" cm="1">
        <f t="array" ref="N792">_xlfn.IFS(
AND(D792&gt;=26,D792&lt;=30),"26–30",
AND(D792&gt;=31,D792&lt;=35),"31–35",
AND(D792&gt;=36,D792&lt;=40),"36–40",
AND(D792&gt;=41,D792&lt;=45),"41–45",
AND(D792&gt;=46,D792&lt;=50),"46–50",
AND(D792&gt;=51,D792&lt;=60),"51–60")</f>
        <v>46–50</v>
      </c>
    </row>
    <row r="793" spans="1:14" x14ac:dyDescent="0.35">
      <c r="A793" t="s">
        <v>1545</v>
      </c>
      <c r="B793" t="s">
        <v>1546</v>
      </c>
      <c r="C793" t="s">
        <v>14</v>
      </c>
      <c r="D793">
        <v>37</v>
      </c>
      <c r="E793" t="s">
        <v>81</v>
      </c>
      <c r="F793" t="s">
        <v>16</v>
      </c>
      <c r="G793" t="s">
        <v>23</v>
      </c>
      <c r="H793" s="1">
        <v>45245</v>
      </c>
      <c r="J793">
        <v>126492</v>
      </c>
      <c r="K793">
        <v>0.08</v>
      </c>
      <c r="L793" t="s">
        <v>24</v>
      </c>
      <c r="M793">
        <f ca="1">IF(ISBLANK(Table1[[#This Row],[Exit]]),DATEDIF(Table1[[#This Row],[Hire]],TODAY(),"Y"),DATEDIF(Table1[[#This Row],[Hire]],Table1[[#This Row],[Exit]],"Y"))</f>
        <v>2</v>
      </c>
      <c r="N793" t="str" cm="1">
        <f t="array" ref="N793">_xlfn.IFS(
AND(D793&gt;=26,D793&lt;=30),"26–30",
AND(D793&gt;=31,D793&lt;=35),"31–35",
AND(D793&gt;=36,D793&lt;=40),"36–40",
AND(D793&gt;=41,D793&lt;=45),"41–45",
AND(D793&gt;=46,D793&lt;=50),"46–50",
AND(D793&gt;=51,D793&lt;=60),"51–60")</f>
        <v>36–40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3F90-03F0-41EB-9CB4-AF3F148335D9}">
  <sheetPr codeName="Sheet1">
    <tabColor theme="3" tint="0.249977111117893"/>
  </sheetPr>
  <dimension ref="A1:AA19"/>
  <sheetViews>
    <sheetView showGridLines="0" zoomScaleNormal="100" workbookViewId="0">
      <selection activeCell="A3" sqref="A3"/>
    </sheetView>
  </sheetViews>
  <sheetFormatPr defaultRowHeight="14.5" x14ac:dyDescent="0.35"/>
  <cols>
    <col min="1" max="1" width="12.453125" bestFit="1" customWidth="1"/>
    <col min="2" max="2" width="12.08984375" bestFit="1" customWidth="1"/>
    <col min="3" max="3" width="5.81640625" customWidth="1"/>
    <col min="4" max="4" width="5.08984375" customWidth="1"/>
    <col min="5" max="5" width="12.453125" bestFit="1" customWidth="1"/>
    <col min="6" max="6" width="16.08984375" style="7" bestFit="1" customWidth="1"/>
    <col min="8" max="8" width="12.453125" bestFit="1" customWidth="1"/>
    <col min="9" max="9" width="15.6328125" bestFit="1" customWidth="1"/>
    <col min="10" max="10" width="4.81640625" bestFit="1" customWidth="1"/>
    <col min="11" max="11" width="6.54296875" customWidth="1"/>
    <col min="12" max="12" width="6.7265625" customWidth="1"/>
    <col min="13" max="13" width="4.6328125" customWidth="1"/>
    <col min="14" max="14" width="12.453125" bestFit="1" customWidth="1"/>
    <col min="15" max="15" width="12.08984375" bestFit="1" customWidth="1"/>
    <col min="17" max="17" width="13.36328125" bestFit="1" customWidth="1"/>
    <col min="18" max="18" width="15.6328125" bestFit="1" customWidth="1"/>
    <col min="19" max="19" width="4.81640625" bestFit="1" customWidth="1"/>
    <col min="20" max="20" width="11.81640625" bestFit="1" customWidth="1"/>
    <col min="21" max="21" width="12.453125" bestFit="1" customWidth="1"/>
    <col min="22" max="22" width="15.6328125" bestFit="1" customWidth="1"/>
    <col min="23" max="23" width="4.81640625" bestFit="1" customWidth="1"/>
    <col min="24" max="24" width="9.81640625" customWidth="1"/>
    <col min="25" max="25" width="12.453125" bestFit="1" customWidth="1"/>
    <col min="26" max="26" width="15.6328125" bestFit="1" customWidth="1"/>
    <col min="27" max="27" width="4.81640625" bestFit="1" customWidth="1"/>
    <col min="28" max="28" width="10.36328125" bestFit="1" customWidth="1"/>
  </cols>
  <sheetData>
    <row r="1" spans="1:27" x14ac:dyDescent="0.35">
      <c r="A1" s="6" t="s">
        <v>1552</v>
      </c>
      <c r="E1" s="6" t="s">
        <v>1554</v>
      </c>
      <c r="H1" s="6" t="s">
        <v>1562</v>
      </c>
      <c r="N1" s="6" t="s">
        <v>1566</v>
      </c>
      <c r="Q1" s="6" t="s">
        <v>1568</v>
      </c>
      <c r="U1" s="6" t="s">
        <v>1570</v>
      </c>
      <c r="Y1" s="6" t="s">
        <v>1571</v>
      </c>
    </row>
    <row r="2" spans="1:27" x14ac:dyDescent="0.35">
      <c r="E2" s="2" t="s">
        <v>11</v>
      </c>
      <c r="F2" t="s" vm="1">
        <v>24</v>
      </c>
      <c r="H2" s="2" t="s">
        <v>11</v>
      </c>
      <c r="I2" t="s" vm="1">
        <v>24</v>
      </c>
      <c r="N2" s="2" t="s">
        <v>11</v>
      </c>
      <c r="O2" t="s" vm="1">
        <v>24</v>
      </c>
    </row>
    <row r="3" spans="1:27" x14ac:dyDescent="0.35">
      <c r="A3" s="2" t="s">
        <v>1549</v>
      </c>
      <c r="B3" t="s">
        <v>1551</v>
      </c>
      <c r="U3" s="2" t="s">
        <v>1569</v>
      </c>
      <c r="V3" s="2" t="s">
        <v>1561</v>
      </c>
      <c r="Y3" s="2" t="s">
        <v>1569</v>
      </c>
      <c r="Z3" s="2" t="s">
        <v>1561</v>
      </c>
    </row>
    <row r="4" spans="1:27" x14ac:dyDescent="0.35">
      <c r="A4" s="3" t="s">
        <v>24</v>
      </c>
      <c r="B4" s="4">
        <v>691</v>
      </c>
      <c r="E4" s="2" t="s">
        <v>1549</v>
      </c>
      <c r="F4" t="s">
        <v>1553</v>
      </c>
      <c r="H4" s="2" t="s">
        <v>1551</v>
      </c>
      <c r="I4" s="2" t="s">
        <v>1561</v>
      </c>
      <c r="N4" s="2" t="s">
        <v>1549</v>
      </c>
      <c r="O4" t="s">
        <v>1551</v>
      </c>
      <c r="Q4" s="2" t="s">
        <v>1567</v>
      </c>
      <c r="R4" s="2" t="s">
        <v>1561</v>
      </c>
      <c r="U4" s="2" t="s">
        <v>1549</v>
      </c>
      <c r="V4" t="s">
        <v>14</v>
      </c>
      <c r="W4" t="s">
        <v>21</v>
      </c>
      <c r="Y4" s="2" t="s">
        <v>1549</v>
      </c>
      <c r="Z4" t="s">
        <v>14</v>
      </c>
      <c r="AA4" t="s">
        <v>21</v>
      </c>
    </row>
    <row r="5" spans="1:27" x14ac:dyDescent="0.35">
      <c r="A5" s="3" t="s">
        <v>18</v>
      </c>
      <c r="B5" s="4">
        <v>101</v>
      </c>
      <c r="E5" s="3" t="s">
        <v>1369</v>
      </c>
      <c r="F5" s="7">
        <v>1398000</v>
      </c>
      <c r="H5" s="2" t="s">
        <v>1549</v>
      </c>
      <c r="I5" t="s">
        <v>14</v>
      </c>
      <c r="J5" t="s">
        <v>21</v>
      </c>
      <c r="N5" s="3" t="s">
        <v>49</v>
      </c>
      <c r="O5" s="4">
        <v>45</v>
      </c>
      <c r="Q5" s="2" t="s">
        <v>1549</v>
      </c>
      <c r="R5" t="s">
        <v>14</v>
      </c>
      <c r="S5" t="s">
        <v>21</v>
      </c>
      <c r="U5" s="3" t="s">
        <v>1555</v>
      </c>
      <c r="V5" s="4">
        <v>15</v>
      </c>
      <c r="W5" s="4">
        <v>15</v>
      </c>
      <c r="Y5" s="3" t="s">
        <v>49</v>
      </c>
      <c r="Z5" s="4">
        <v>3</v>
      </c>
      <c r="AA5" s="4">
        <v>2</v>
      </c>
    </row>
    <row r="6" spans="1:27" x14ac:dyDescent="0.35">
      <c r="A6" s="3" t="s">
        <v>1550</v>
      </c>
      <c r="B6" s="4">
        <v>792</v>
      </c>
      <c r="E6" s="3" t="s">
        <v>1361</v>
      </c>
      <c r="F6" s="7">
        <v>1390000</v>
      </c>
      <c r="H6" s="3" t="s">
        <v>1555</v>
      </c>
      <c r="I6" s="4">
        <v>39</v>
      </c>
      <c r="J6" s="4">
        <v>35</v>
      </c>
      <c r="N6" s="3" t="s">
        <v>16</v>
      </c>
      <c r="O6" s="4">
        <v>389</v>
      </c>
      <c r="Q6" s="3" t="s">
        <v>22</v>
      </c>
      <c r="R6" s="11">
        <v>3.1578947368421053</v>
      </c>
      <c r="S6" s="11">
        <v>2.6666666666666665</v>
      </c>
      <c r="U6" s="3" t="s">
        <v>1556</v>
      </c>
      <c r="V6" s="4">
        <v>5</v>
      </c>
      <c r="W6" s="4">
        <v>4</v>
      </c>
      <c r="Y6" s="3" t="s">
        <v>16</v>
      </c>
      <c r="Z6" s="4">
        <v>25</v>
      </c>
      <c r="AA6" s="4">
        <v>31</v>
      </c>
    </row>
    <row r="7" spans="1:27" x14ac:dyDescent="0.35">
      <c r="E7" s="3" t="s">
        <v>1376</v>
      </c>
      <c r="F7" s="7">
        <v>1406000</v>
      </c>
      <c r="H7" s="3" t="s">
        <v>1556</v>
      </c>
      <c r="I7" s="4">
        <v>74</v>
      </c>
      <c r="J7" s="4">
        <v>62</v>
      </c>
      <c r="N7" s="3" t="s">
        <v>43</v>
      </c>
      <c r="O7" s="4">
        <v>45</v>
      </c>
      <c r="Q7" s="3" t="s">
        <v>15</v>
      </c>
      <c r="R7" s="11">
        <v>3.9047619047619047</v>
      </c>
      <c r="S7" s="11">
        <v>4</v>
      </c>
      <c r="U7" s="3" t="s">
        <v>1557</v>
      </c>
      <c r="V7" s="4">
        <v>10</v>
      </c>
      <c r="W7" s="4">
        <v>14</v>
      </c>
      <c r="Y7" s="3" t="s">
        <v>43</v>
      </c>
      <c r="Z7" s="4">
        <v>1</v>
      </c>
      <c r="AA7" s="4">
        <v>3</v>
      </c>
    </row>
    <row r="8" spans="1:27" x14ac:dyDescent="0.35">
      <c r="E8" s="3" t="s">
        <v>1363</v>
      </c>
      <c r="F8" s="7">
        <v>1392000</v>
      </c>
      <c r="H8" s="3" t="s">
        <v>1557</v>
      </c>
      <c r="I8" s="4">
        <v>87</v>
      </c>
      <c r="J8" s="4">
        <v>84</v>
      </c>
      <c r="N8" s="3" t="s">
        <v>59</v>
      </c>
      <c r="O8" s="4">
        <v>106</v>
      </c>
      <c r="Q8" s="3" t="s">
        <v>31</v>
      </c>
      <c r="R8" s="11">
        <v>2.641025641025641</v>
      </c>
      <c r="S8" s="11">
        <v>2.7941176470588234</v>
      </c>
      <c r="U8" s="3" t="s">
        <v>1558</v>
      </c>
      <c r="V8" s="4">
        <v>6</v>
      </c>
      <c r="W8" s="4">
        <v>9</v>
      </c>
      <c r="Y8" s="3" t="s">
        <v>59</v>
      </c>
      <c r="Z8" s="4">
        <v>6</v>
      </c>
      <c r="AA8" s="4">
        <v>11</v>
      </c>
    </row>
    <row r="9" spans="1:27" x14ac:dyDescent="0.35">
      <c r="A9" s="3" t="str">
        <f>A4</f>
        <v>Active</v>
      </c>
      <c r="B9">
        <f>B4</f>
        <v>691</v>
      </c>
      <c r="C9" s="5">
        <f>B9/B11</f>
        <v>0.87247474747474751</v>
      </c>
      <c r="E9" s="3" t="s">
        <v>1374</v>
      </c>
      <c r="F9" s="7">
        <v>1404000</v>
      </c>
      <c r="H9" s="3" t="s">
        <v>1558</v>
      </c>
      <c r="I9" s="4">
        <v>66</v>
      </c>
      <c r="J9" s="4">
        <v>77</v>
      </c>
      <c r="N9" s="3" t="s">
        <v>46</v>
      </c>
      <c r="O9" s="4">
        <v>61</v>
      </c>
      <c r="Q9" s="3" t="s">
        <v>58</v>
      </c>
      <c r="R9" s="11">
        <v>1.4333333333333333</v>
      </c>
      <c r="S9" s="11">
        <v>1.5555555555555556</v>
      </c>
      <c r="U9" s="3" t="s">
        <v>1559</v>
      </c>
      <c r="V9" s="4">
        <v>5</v>
      </c>
      <c r="W9" s="4">
        <v>5</v>
      </c>
      <c r="Y9" s="3" t="s">
        <v>46</v>
      </c>
      <c r="Z9" s="4">
        <v>8</v>
      </c>
      <c r="AA9" s="4">
        <v>6</v>
      </c>
    </row>
    <row r="10" spans="1:27" x14ac:dyDescent="0.35">
      <c r="A10" s="3" t="str">
        <f t="shared" ref="A10:B11" si="0">A5</f>
        <v>Inactive</v>
      </c>
      <c r="B10">
        <f t="shared" si="0"/>
        <v>101</v>
      </c>
      <c r="C10" s="5">
        <f>B10/B11</f>
        <v>0.12752525252525251</v>
      </c>
      <c r="E10" s="3" t="s">
        <v>1377</v>
      </c>
      <c r="F10" s="7">
        <v>1408000</v>
      </c>
      <c r="H10" s="3" t="s">
        <v>1559</v>
      </c>
      <c r="I10" s="4">
        <v>43</v>
      </c>
      <c r="J10" s="4">
        <v>53</v>
      </c>
      <c r="N10" s="3" t="s">
        <v>28</v>
      </c>
      <c r="O10" s="4">
        <v>45</v>
      </c>
      <c r="Q10" s="3" t="s">
        <v>92</v>
      </c>
      <c r="R10" s="11">
        <v>2.1428571428571428</v>
      </c>
      <c r="S10" s="11">
        <v>1.8888888888888888</v>
      </c>
      <c r="U10" s="3" t="s">
        <v>1560</v>
      </c>
      <c r="V10" s="4">
        <v>5</v>
      </c>
      <c r="W10" s="4">
        <v>8</v>
      </c>
      <c r="Y10" s="3" t="s">
        <v>28</v>
      </c>
      <c r="Z10" s="4">
        <v>3</v>
      </c>
      <c r="AA10" s="4">
        <v>2</v>
      </c>
    </row>
    <row r="11" spans="1:27" x14ac:dyDescent="0.35">
      <c r="A11" s="3" t="str">
        <f t="shared" si="0"/>
        <v>Grand Total</v>
      </c>
      <c r="B11">
        <f t="shared" si="0"/>
        <v>792</v>
      </c>
      <c r="E11" s="3" t="s">
        <v>1372</v>
      </c>
      <c r="F11" s="7">
        <v>1402000</v>
      </c>
      <c r="H11" s="3" t="s">
        <v>1560</v>
      </c>
      <c r="I11" s="4">
        <v>39</v>
      </c>
      <c r="J11" s="4">
        <v>32</v>
      </c>
      <c r="N11" s="3" t="s">
        <v>1550</v>
      </c>
      <c r="O11" s="4">
        <v>691</v>
      </c>
      <c r="Q11" s="3" t="s">
        <v>66</v>
      </c>
      <c r="R11" s="11">
        <v>3.4722222222222223</v>
      </c>
      <c r="S11" s="11">
        <v>2.84375</v>
      </c>
    </row>
    <row r="12" spans="1:27" x14ac:dyDescent="0.35">
      <c r="E12" s="3" t="s">
        <v>1370</v>
      </c>
      <c r="F12" s="7">
        <v>1400000</v>
      </c>
      <c r="Q12" s="3" t="s">
        <v>52</v>
      </c>
      <c r="R12" s="11">
        <v>3.5319148936170213</v>
      </c>
      <c r="S12" s="11">
        <v>3.7692307692307692</v>
      </c>
    </row>
    <row r="13" spans="1:27" x14ac:dyDescent="0.35">
      <c r="E13" s="3" t="s">
        <v>1360</v>
      </c>
      <c r="F13" s="7">
        <v>1388000</v>
      </c>
      <c r="H13" s="9" t="s">
        <v>3</v>
      </c>
      <c r="I13" s="10" t="s">
        <v>1563</v>
      </c>
      <c r="J13" s="10" t="s">
        <v>21</v>
      </c>
      <c r="K13" s="10" t="s">
        <v>1564</v>
      </c>
      <c r="L13" s="10" t="s">
        <v>14</v>
      </c>
      <c r="M13" s="10" t="s">
        <v>1565</v>
      </c>
      <c r="Q13" s="3" t="s">
        <v>27</v>
      </c>
      <c r="R13" s="11">
        <v>2.9117647058823528</v>
      </c>
      <c r="S13" s="11">
        <v>2.8125</v>
      </c>
    </row>
    <row r="14" spans="1:27" x14ac:dyDescent="0.35">
      <c r="E14" s="3" t="s">
        <v>1367</v>
      </c>
      <c r="F14" s="7">
        <v>1396000</v>
      </c>
      <c r="H14" s="8" t="str">
        <f>H6</f>
        <v>26–30</v>
      </c>
      <c r="I14" s="8">
        <f>MAX($J$14:$L$19)-J14</f>
        <v>52</v>
      </c>
      <c r="J14" s="8">
        <f>J6</f>
        <v>35</v>
      </c>
      <c r="K14" s="8">
        <v>30</v>
      </c>
      <c r="L14" s="8">
        <f>I6</f>
        <v>39</v>
      </c>
      <c r="M14" s="8">
        <f>MAX($J$14:$L$19)-L14</f>
        <v>48</v>
      </c>
      <c r="Q14" s="3" t="s">
        <v>81</v>
      </c>
      <c r="R14" s="11">
        <v>1.9</v>
      </c>
      <c r="S14" s="11">
        <v>1.9069767441860466</v>
      </c>
    </row>
    <row r="15" spans="1:27" x14ac:dyDescent="0.35">
      <c r="E15" s="3" t="s">
        <v>1550</v>
      </c>
      <c r="F15" s="7">
        <v>13984000</v>
      </c>
      <c r="H15" s="8" t="str">
        <f t="shared" ref="H15:H18" si="1">H7</f>
        <v>31–35</v>
      </c>
      <c r="I15" s="8">
        <f t="shared" ref="I15:I19" si="2">MAX($J$14:$L$19)-J15</f>
        <v>25</v>
      </c>
      <c r="J15" s="8">
        <f t="shared" ref="J15:J19" si="3">J7</f>
        <v>62</v>
      </c>
      <c r="K15" s="8">
        <v>30</v>
      </c>
      <c r="L15" s="8">
        <f t="shared" ref="L15:L19" si="4">I7</f>
        <v>74</v>
      </c>
      <c r="M15" s="8">
        <f t="shared" ref="M15:M19" si="5">MAX($J$14:$L$19)-L15</f>
        <v>13</v>
      </c>
      <c r="Q15" s="3" t="s">
        <v>42</v>
      </c>
      <c r="R15" s="11">
        <v>2.5789473684210527</v>
      </c>
      <c r="S15" s="11">
        <v>2.1860465116279069</v>
      </c>
    </row>
    <row r="16" spans="1:27" x14ac:dyDescent="0.35">
      <c r="H16" s="8" t="str">
        <f t="shared" si="1"/>
        <v>36–40</v>
      </c>
      <c r="I16" s="8">
        <f t="shared" si="2"/>
        <v>3</v>
      </c>
      <c r="J16" s="8">
        <f t="shared" si="3"/>
        <v>84</v>
      </c>
      <c r="K16" s="8">
        <v>30</v>
      </c>
      <c r="L16" s="8">
        <f t="shared" si="4"/>
        <v>87</v>
      </c>
      <c r="M16" s="8">
        <f t="shared" si="5"/>
        <v>0</v>
      </c>
    </row>
    <row r="17" spans="8:13" x14ac:dyDescent="0.35">
      <c r="H17" s="8" t="str">
        <f t="shared" si="1"/>
        <v>41–45</v>
      </c>
      <c r="I17" s="8">
        <f t="shared" si="2"/>
        <v>10</v>
      </c>
      <c r="J17" s="8">
        <f t="shared" si="3"/>
        <v>77</v>
      </c>
      <c r="K17" s="8">
        <v>30</v>
      </c>
      <c r="L17" s="8">
        <f t="shared" si="4"/>
        <v>66</v>
      </c>
      <c r="M17" s="8">
        <f t="shared" si="5"/>
        <v>21</v>
      </c>
    </row>
    <row r="18" spans="8:13" x14ac:dyDescent="0.35">
      <c r="H18" s="8" t="str">
        <f t="shared" si="1"/>
        <v>46–50</v>
      </c>
      <c r="I18" s="8">
        <f t="shared" si="2"/>
        <v>34</v>
      </c>
      <c r="J18" s="8">
        <f t="shared" si="3"/>
        <v>53</v>
      </c>
      <c r="K18" s="8">
        <v>30</v>
      </c>
      <c r="L18" s="8">
        <f t="shared" si="4"/>
        <v>43</v>
      </c>
      <c r="M18" s="8">
        <f t="shared" si="5"/>
        <v>44</v>
      </c>
    </row>
    <row r="19" spans="8:13" x14ac:dyDescent="0.35">
      <c r="H19" s="8" t="str">
        <f>H11</f>
        <v>51–60</v>
      </c>
      <c r="I19" s="8">
        <f t="shared" si="2"/>
        <v>55</v>
      </c>
      <c r="J19" s="8">
        <f t="shared" si="3"/>
        <v>32</v>
      </c>
      <c r="K19" s="8">
        <v>30</v>
      </c>
      <c r="L19" s="8">
        <f t="shared" si="4"/>
        <v>39</v>
      </c>
      <c r="M19" s="8">
        <f t="shared" si="5"/>
        <v>48</v>
      </c>
    </row>
  </sheetData>
  <pageMargins left="0.7" right="0.7" top="0.75" bottom="0.75" header="0.3" footer="0.3"/>
  <ignoredErrors>
    <ignoredError sqref="I14:I1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1937-0A63-43B8-B882-41D6B21436FD}">
  <sheetPr codeName="Sheet3">
    <tabColor theme="5" tint="-0.249977111117893"/>
  </sheetPr>
  <dimension ref="A1"/>
  <sheetViews>
    <sheetView showGridLines="0" tabSelected="1" zoomScale="94" zoomScaleNormal="94" workbookViewId="0">
      <selection activeCell="R8" sqref="R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dc:creator>
  <cp:lastModifiedBy>AYUSHI GUPTA</cp:lastModifiedBy>
  <dcterms:created xsi:type="dcterms:W3CDTF">2025-02-04T14:57:50Z</dcterms:created>
  <dcterms:modified xsi:type="dcterms:W3CDTF">2026-02-04T18:07:01Z</dcterms:modified>
</cp:coreProperties>
</file>